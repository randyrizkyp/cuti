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drawings/drawing7.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showSheetTabs="0" xWindow="-105" yWindow="-105" windowWidth="19425" windowHeight="10305" tabRatio="904" firstSheet="5" activeTab="13"/>
  </bookViews>
  <sheets>
    <sheet name="COVER" sheetId="10" r:id="rId1"/>
    <sheet name="SKP JF (KUANTITATIF)" sheetId="1" r:id="rId2"/>
    <sheet name="EVALUASI KINERJA KUANTI JF (2)" sheetId="13" r:id="rId3"/>
    <sheet name="DOK. EVALUASI KINERJA PEGAWAI" sheetId="5" r:id="rId4"/>
    <sheet name="DOK. EVALUASI KINERJA PEGAW (2" sheetId="14" r:id="rId5"/>
    <sheet name="EVALUASI KINERJA KUANTI JF" sheetId="4" r:id="rId6"/>
    <sheet name="BERAHLAK" sheetId="8" r:id="rId7"/>
    <sheet name="UMPAN-BALIK" sheetId="18" r:id="rId8"/>
    <sheet name="KUADRAN" sheetId="6" r:id="rId9"/>
    <sheet name="POLA DISTRIBUSI" sheetId="3" r:id="rId10"/>
    <sheet name="MPH_1-2" sheetId="19" r:id="rId11"/>
    <sheet name="TUPOKSI" sheetId="15" r:id="rId12"/>
    <sheet name="00 DATA" sheetId="7" r:id="rId13"/>
    <sheet name="HOME" sheetId="11" r:id="rId14"/>
  </sheets>
  <externalReferences>
    <externalReference r:id="rId15"/>
    <externalReference r:id="rId16"/>
    <externalReference r:id="rId17"/>
    <externalReference r:id="rId18"/>
    <externalReference r:id="rId19"/>
    <externalReference r:id="rId20"/>
    <externalReference r:id="rId21"/>
  </externalReferences>
  <definedNames>
    <definedName name="_1." localSheetId="5">'EVALUASI KINERJA KUANTI JF'!$R$47</definedName>
    <definedName name="_1." localSheetId="2">'EVALUASI KINERJA KUANTI JF (2)'!$R$47</definedName>
    <definedName name="_xlnm._FilterDatabase" localSheetId="5" hidden="1">'EVALUASI KINERJA KUANTI JF'!$R$46:$T$78</definedName>
    <definedName name="_xlnm._FilterDatabase" localSheetId="2" hidden="1">'EVALUASI KINERJA KUANTI JF (2)'!$R$46:$T$78</definedName>
    <definedName name="Absensi" localSheetId="0">#REF!</definedName>
    <definedName name="Absensi" localSheetId="4">#REF!</definedName>
    <definedName name="Absensi" localSheetId="2">#REF!</definedName>
    <definedName name="Absensi" localSheetId="13">#REF!</definedName>
    <definedName name="Absensi" localSheetId="10">#REF!</definedName>
    <definedName name="Absensi" localSheetId="11">#REF!</definedName>
    <definedName name="Absensi" localSheetId="7">#REF!</definedName>
    <definedName name="Absensi">#REF!</definedName>
    <definedName name="AK">[1]Target!$AX$7:$BF$143</definedName>
    <definedName name="Akhir">[2]Sheet12!$B$5:$K$11</definedName>
    <definedName name="analisis" localSheetId="0">#REF!</definedName>
    <definedName name="analisis" localSheetId="4">#REF!</definedName>
    <definedName name="analisis" localSheetId="2">#REF!</definedName>
    <definedName name="analisis" localSheetId="13">#REF!</definedName>
    <definedName name="analisis" localSheetId="10">#REF!</definedName>
    <definedName name="analisis" localSheetId="11">#REF!</definedName>
    <definedName name="analisis" localSheetId="7">#REF!</definedName>
    <definedName name="analisis">#REF!</definedName>
    <definedName name="angka_kredit">[1]Target!$AX$7:$BF$143</definedName>
    <definedName name="bilat">[1]AngkaKredit!$C$83:$H$95</definedName>
    <definedName name="bind" localSheetId="0">#REF!</definedName>
    <definedName name="bind" localSheetId="4">#REF!</definedName>
    <definedName name="bind" localSheetId="2">#REF!</definedName>
    <definedName name="bind" localSheetId="13">#REF!</definedName>
    <definedName name="bind" localSheetId="10">#REF!</definedName>
    <definedName name="bind" localSheetId="11">#REF!</definedName>
    <definedName name="bind" localSheetId="7">#REF!</definedName>
    <definedName name="bind">#REF!</definedName>
    <definedName name="bing" localSheetId="0">#REF!</definedName>
    <definedName name="bing" localSheetId="4">#REF!</definedName>
    <definedName name="bing" localSheetId="2">#REF!</definedName>
    <definedName name="bing" localSheetId="13">#REF!</definedName>
    <definedName name="bing" localSheetId="10">#REF!</definedName>
    <definedName name="bing" localSheetId="11">#REF!</definedName>
    <definedName name="bing" localSheetId="7">#REF!</definedName>
    <definedName name="bing">#REF!</definedName>
    <definedName name="BUDIDAYA" localSheetId="0">#REF!</definedName>
    <definedName name="BUDIDAYA" localSheetId="4">#REF!</definedName>
    <definedName name="BUDIDAYA" localSheetId="2">#REF!</definedName>
    <definedName name="BUDIDAYA" localSheetId="13">#REF!</definedName>
    <definedName name="BUDIDAYA" localSheetId="10">#REF!</definedName>
    <definedName name="BUDIDAYA" localSheetId="11">#REF!</definedName>
    <definedName name="BUDIDAYA" localSheetId="7">#REF!</definedName>
    <definedName name="BUDIDAYA">#REF!</definedName>
    <definedName name="butir1bk">'[3]AK BK'!$G$7:$I$18</definedName>
    <definedName name="butir1gk">'[3]AK BK'!$G$119:$I$130</definedName>
    <definedName name="butir2bk">'[3]AK BK'!$G$19:$I$30</definedName>
    <definedName name="butir2gk">'[3]AK BK'!$G$131:$I$142</definedName>
    <definedName name="butir3bk">'[3]AK BK'!$G$31:$I$42</definedName>
    <definedName name="butir3gk">'[3]AK BK'!$G$143:$I$154</definedName>
    <definedName name="butir4bk">'[3]AK BK'!$G$43:$I$54</definedName>
    <definedName name="butir4gk">'[3]AK BK'!$G$155:$I$166</definedName>
    <definedName name="butir5bk">'[3]AK BK'!$G$55:$I$66</definedName>
    <definedName name="butir5gk">'[3]AK BK'!$G$167:$I$178</definedName>
    <definedName name="butir6gk">'[3]AK BK'!$G$179:$I$190</definedName>
    <definedName name="butir7bk">'[3]AK BK'!$G$79:$I$90</definedName>
    <definedName name="butir7gk">'[3]AK BK'!$G$191:$I$202</definedName>
    <definedName name="butir8bk">'[3]AK BK'!$G$91:$I$102</definedName>
    <definedName name="butir8gk">'[3]AK BK'!$G$203:$I$214</definedName>
    <definedName name="capaian" localSheetId="0">#REF!</definedName>
    <definedName name="capaian" localSheetId="4">#REF!</definedName>
    <definedName name="capaian" localSheetId="2">#REF!</definedName>
    <definedName name="capaian" localSheetId="13">#REF!</definedName>
    <definedName name="capaian" localSheetId="10">#REF!</definedName>
    <definedName name="capaian" localSheetId="11">#REF!</definedName>
    <definedName name="capaian" localSheetId="7">#REF!</definedName>
    <definedName name="capaian">#REF!</definedName>
    <definedName name="catat_walas" localSheetId="0">#REF!</definedName>
    <definedName name="catat_walas" localSheetId="4">#REF!</definedName>
    <definedName name="catat_walas" localSheetId="2">#REF!</definedName>
    <definedName name="catat_walas" localSheetId="13">#REF!</definedName>
    <definedName name="catat_walas" localSheetId="10">#REF!</definedName>
    <definedName name="catat_walas" localSheetId="11">#REF!</definedName>
    <definedName name="catat_walas" localSheetId="7">#REF!</definedName>
    <definedName name="catat_walas">#REF!</definedName>
    <definedName name="data_interval" localSheetId="0">#REF!</definedName>
    <definedName name="data_interval" localSheetId="4">#REF!</definedName>
    <definedName name="data_interval" localSheetId="2">#REF!</definedName>
    <definedName name="data_interval" localSheetId="13">#REF!</definedName>
    <definedName name="data_interval" localSheetId="10">#REF!</definedName>
    <definedName name="data_interval" localSheetId="11">#REF!</definedName>
    <definedName name="data_interval" localSheetId="7">#REF!</definedName>
    <definedName name="data_interval">#REF!</definedName>
    <definedName name="data_siswa_lengkap" localSheetId="0">#REF!</definedName>
    <definedName name="data_siswa_lengkap" localSheetId="4">#REF!</definedName>
    <definedName name="data_siswa_lengkap" localSheetId="2">#REF!</definedName>
    <definedName name="data_siswa_lengkap" localSheetId="13">#REF!</definedName>
    <definedName name="data_siswa_lengkap" localSheetId="10">#REF!</definedName>
    <definedName name="data_siswa_lengkap" localSheetId="11">#REF!</definedName>
    <definedName name="data_siswa_lengkap" localSheetId="7">#REF!</definedName>
    <definedName name="data_siswa_lengkap">#REF!</definedName>
    <definedName name="DataGuru">[1]DataPengawas!$B$6:$I$143</definedName>
    <definedName name="dataguru2">[1]DataPengawas!$B$6:$I$142</definedName>
    <definedName name="DataPegawai">[4]DATAPEGAWAI!$C$2:$F$41</definedName>
    <definedName name="datasi_rapot" localSheetId="0">#REF!</definedName>
    <definedName name="datasi_rapot" localSheetId="4">#REF!</definedName>
    <definedName name="datasi_rapot" localSheetId="2">#REF!</definedName>
    <definedName name="datasi_rapot" localSheetId="13">#REF!</definedName>
    <definedName name="datasi_rapot" localSheetId="10">#REF!</definedName>
    <definedName name="datasi_rapot" localSheetId="11">#REF!</definedName>
    <definedName name="datasi_rapot" localSheetId="7">#REF!</definedName>
    <definedName name="datasi_rapot">#REF!</definedName>
    <definedName name="DIKPS">[5]III!$C$500:$C$509</definedName>
    <definedName name="Eskul" localSheetId="0">#REF!</definedName>
    <definedName name="Eskul" localSheetId="4">#REF!</definedName>
    <definedName name="Eskul" localSheetId="2">#REF!</definedName>
    <definedName name="Eskul" localSheetId="13">#REF!</definedName>
    <definedName name="Eskul" localSheetId="10">#REF!</definedName>
    <definedName name="Eskul" localSheetId="11">#REF!</definedName>
    <definedName name="Eskul" localSheetId="7">#REF!</definedName>
    <definedName name="Eskul">#REF!</definedName>
    <definedName name="evabilat">[1]AngkaKredit!$C$96:$H$108</definedName>
    <definedName name="evaluasi" localSheetId="0">#REF!</definedName>
    <definedName name="evaluasi" localSheetId="4">#REF!</definedName>
    <definedName name="evaluasi" localSheetId="2">#REF!</definedName>
    <definedName name="evaluasi" localSheetId="13">#REF!</definedName>
    <definedName name="evaluasi" localSheetId="10">#REF!</definedName>
    <definedName name="evaluasi" localSheetId="11">#REF!</definedName>
    <definedName name="evaluasi" localSheetId="7">#REF!</definedName>
    <definedName name="evaluasi">#REF!</definedName>
    <definedName name="GOL" localSheetId="0">#REF!</definedName>
    <definedName name="GOL" localSheetId="4">#REF!</definedName>
    <definedName name="GOL" localSheetId="2">#REF!</definedName>
    <definedName name="GOL" localSheetId="13">#REF!</definedName>
    <definedName name="GOL" localSheetId="10">#REF!</definedName>
    <definedName name="GOL" localSheetId="11">#REF!</definedName>
    <definedName name="GOL" localSheetId="7">#REF!</definedName>
    <definedName name="GOL">#REF!</definedName>
    <definedName name="golongan">[5]Identitas!$E$46:$E$52</definedName>
    <definedName name="hq" localSheetId="0">#REF!</definedName>
    <definedName name="hq" localSheetId="4">#REF!</definedName>
    <definedName name="hq" localSheetId="2">#REF!</definedName>
    <definedName name="hq" localSheetId="13">#REF!</definedName>
    <definedName name="hq" localSheetId="10">#REF!</definedName>
    <definedName name="hq" localSheetId="11">#REF!</definedName>
    <definedName name="hq" localSheetId="7">#REF!</definedName>
    <definedName name="hq">#REF!</definedName>
    <definedName name="ipa" localSheetId="0">#REF!</definedName>
    <definedName name="ipa" localSheetId="4">#REF!</definedName>
    <definedName name="ipa" localSheetId="2">#REF!</definedName>
    <definedName name="ipa" localSheetId="13">#REF!</definedName>
    <definedName name="ipa" localSheetId="10">#REF!</definedName>
    <definedName name="ipa" localSheetId="11">#REF!</definedName>
    <definedName name="ipa" localSheetId="7">#REF!</definedName>
    <definedName name="ipa">#REF!</definedName>
    <definedName name="ips" localSheetId="0">#REF!</definedName>
    <definedName name="ips" localSheetId="4">#REF!</definedName>
    <definedName name="ips" localSheetId="2">#REF!</definedName>
    <definedName name="ips" localSheetId="13">#REF!</definedName>
    <definedName name="ips" localSheetId="10">#REF!</definedName>
    <definedName name="ips" localSheetId="11">#REF!</definedName>
    <definedName name="ips" localSheetId="7">#REF!</definedName>
    <definedName name="ips">#REF!</definedName>
    <definedName name="jabat">[5]Identitas!$D$46:$G$52</definedName>
    <definedName name="jabat2">'[5]1. Data Supervisi'!$M$22:$P$33</definedName>
    <definedName name="Jabatan">[1]SKP!$C$41:$D$48</definedName>
    <definedName name="jabguru">'[3]AK BK'!$G$260:$H$273</definedName>
    <definedName name="jenis">'[6]Guru '!$K$19:$K$24</definedName>
    <definedName name="jenisguru">'[3]AK BK'!$F$235:$G$237</definedName>
    <definedName name="Jml_Siswa">[7]DS!$W$1:$X$8</definedName>
    <definedName name="Karjono">[5]IV!$C$537:$C$544</definedName>
    <definedName name="KERAJINAN" localSheetId="0">#REF!</definedName>
    <definedName name="KERAJINAN" localSheetId="4">#REF!</definedName>
    <definedName name="KERAJINAN" localSheetId="2">#REF!</definedName>
    <definedName name="KERAJINAN" localSheetId="13">#REF!</definedName>
    <definedName name="KERAJINAN" localSheetId="10">#REF!</definedName>
    <definedName name="KERAJINAN" localSheetId="11">#REF!</definedName>
    <definedName name="KERAJINAN" localSheetId="7">#REF!</definedName>
    <definedName name="KERAJINAN">#REF!</definedName>
    <definedName name="KI">[7]prota!$D$8:$E$42</definedName>
    <definedName name="KORWAS">[5]DATA!$E$23</definedName>
    <definedName name="Kreatif" localSheetId="0">#REF!</definedName>
    <definedName name="Kreatif" localSheetId="4">#REF!</definedName>
    <definedName name="Kreatif" localSheetId="2">#REF!</definedName>
    <definedName name="Kreatif" localSheetId="13">#REF!</definedName>
    <definedName name="Kreatif" localSheetId="10">#REF!</definedName>
    <definedName name="Kreatif" localSheetId="11">#REF!</definedName>
    <definedName name="Kreatif" localSheetId="7">#REF!</definedName>
    <definedName name="Kreatif">#REF!</definedName>
    <definedName name="laksana">[1]AngkaKredit!$C$18:$H$30</definedName>
    <definedName name="laksanaEva">[1]AngkaKredit!$C$57:$H$69</definedName>
    <definedName name="leger_pts" localSheetId="0">#REF!</definedName>
    <definedName name="leger_pts" localSheetId="4">#REF!</definedName>
    <definedName name="leger_pts" localSheetId="2">#REF!</definedName>
    <definedName name="leger_pts" localSheetId="13">#REF!</definedName>
    <definedName name="leger_pts" localSheetId="10">#REF!</definedName>
    <definedName name="leger_pts" localSheetId="11">#REF!</definedName>
    <definedName name="leger_pts" localSheetId="7">#REF!</definedName>
    <definedName name="leger_pts">#REF!</definedName>
    <definedName name="madrasah">[2]Data!$A$14:$F$23</definedName>
    <definedName name="Mahnuri">[5]DATA!$E$38</definedName>
    <definedName name="MAN" localSheetId="0">#REF!</definedName>
    <definedName name="MAN" localSheetId="4">#REF!</definedName>
    <definedName name="MAN" localSheetId="2">#REF!</definedName>
    <definedName name="MAN" localSheetId="13">#REF!</definedName>
    <definedName name="MAN" localSheetId="10">#REF!</definedName>
    <definedName name="MAN" localSheetId="11">#REF!</definedName>
    <definedName name="MAN" localSheetId="7">#REF!</definedName>
    <definedName name="MAN">#REF!</definedName>
    <definedName name="MANAGERIAL" localSheetId="0">#REF!</definedName>
    <definedName name="MANAGERIAL" localSheetId="4">#REF!</definedName>
    <definedName name="MANAGERIAL" localSheetId="2">#REF!</definedName>
    <definedName name="MANAGERIAL" localSheetId="13">#REF!</definedName>
    <definedName name="MANAGERIAL" localSheetId="10">#REF!</definedName>
    <definedName name="MANAGERIAL" localSheetId="11">#REF!</definedName>
    <definedName name="MANAGERIAL" localSheetId="7">#REF!</definedName>
    <definedName name="MANAGERIAL">#REF!</definedName>
    <definedName name="MANAJERIAL" localSheetId="0">#REF!</definedName>
    <definedName name="MANAJERIAL" localSheetId="4">#REF!</definedName>
    <definedName name="MANAJERIAL" localSheetId="2">#REF!</definedName>
    <definedName name="MANAJERIAL" localSheetId="13">#REF!</definedName>
    <definedName name="MANAJERIAL" localSheetId="10">#REF!</definedName>
    <definedName name="MANAJERIAL" localSheetId="11">#REF!</definedName>
    <definedName name="MANAJERIAL" localSheetId="7">#REF!</definedName>
    <definedName name="MANAJERIAL">#REF!</definedName>
    <definedName name="mantau">[1]AngkaKredit!$C$31:$H$43</definedName>
    <definedName name="mapel_guru_kkm" localSheetId="0">#REF!</definedName>
    <definedName name="mapel_guru_kkm" localSheetId="4">#REF!</definedName>
    <definedName name="mapel_guru_kkm" localSheetId="2">#REF!</definedName>
    <definedName name="mapel_guru_kkm" localSheetId="13">#REF!</definedName>
    <definedName name="mapel_guru_kkm" localSheetId="10">#REF!</definedName>
    <definedName name="mapel_guru_kkm" localSheetId="11">#REF!</definedName>
    <definedName name="mapel_guru_kkm" localSheetId="7">#REF!</definedName>
    <definedName name="mapel_guru_kkm">#REF!</definedName>
    <definedName name="mengajar" localSheetId="0">#REF!</definedName>
    <definedName name="mengajar" localSheetId="4">#REF!</definedName>
    <definedName name="mengajar" localSheetId="2">#REF!</definedName>
    <definedName name="mengajar" localSheetId="13">#REF!</definedName>
    <definedName name="mengajar" localSheetId="10">#REF!</definedName>
    <definedName name="mengajar" localSheetId="11">#REF!</definedName>
    <definedName name="mengajar" localSheetId="7">#REF!</definedName>
    <definedName name="mengajar">#REF!</definedName>
    <definedName name="mtk" localSheetId="0">#REF!</definedName>
    <definedName name="mtk" localSheetId="4">#REF!</definedName>
    <definedName name="mtk" localSheetId="2">#REF!</definedName>
    <definedName name="mtk" localSheetId="13">#REF!</definedName>
    <definedName name="mtk" localSheetId="10">#REF!</definedName>
    <definedName name="mtk" localSheetId="11">#REF!</definedName>
    <definedName name="mtk" localSheetId="7">#REF!</definedName>
    <definedName name="mtk">#REF!</definedName>
    <definedName name="mulok" localSheetId="0">#REF!</definedName>
    <definedName name="mulok" localSheetId="4">#REF!</definedName>
    <definedName name="mulok" localSheetId="2">#REF!</definedName>
    <definedName name="mulok" localSheetId="13">#REF!</definedName>
    <definedName name="mulok" localSheetId="10">#REF!</definedName>
    <definedName name="mulok" localSheetId="11">#REF!</definedName>
    <definedName name="mulok" localSheetId="7">#REF!</definedName>
    <definedName name="mulok">#REF!</definedName>
    <definedName name="N" localSheetId="0">{"Satu ","Dua ","Tiga ","Empat ","Lima ","Enam ","Tujuh ","Delapan ","Sembilan "}</definedName>
    <definedName name="N" localSheetId="13">{"Satu ","Dua ","Tiga ","Empat ","Lima ","Enam ","Tujuh ","Delapan ","Sembilan "}</definedName>
    <definedName name="N" localSheetId="10">{"Satu ","Dua ","Tiga ","Empat ","Lima ","Enam ","Tujuh ","Delapan ","Sembilan "}</definedName>
    <definedName name="N">{"Satu ","Dua ","Tiga ","Empat ","Lima ","Enam ","Tujuh ","Delapan ","Sembilan "}</definedName>
    <definedName name="Nama_Siswa">[7]dasiUt!$B$4:$I$44</definedName>
    <definedName name="Nilai" localSheetId="0">#REF!</definedName>
    <definedName name="Nilai" localSheetId="4">#REF!</definedName>
    <definedName name="Nilai" localSheetId="2">#REF!</definedName>
    <definedName name="Nilai" localSheetId="13">#REF!</definedName>
    <definedName name="Nilai" localSheetId="10">#REF!</definedName>
    <definedName name="Nilai" localSheetId="11">#REF!</definedName>
    <definedName name="Nilai" localSheetId="7">#REF!</definedName>
    <definedName name="Nilai">#REF!</definedName>
    <definedName name="nilai_PKG">[1]AngkaKredit!$C$44:$H$56</definedName>
    <definedName name="Nip_Data_Siswa" localSheetId="0">#REF!</definedName>
    <definedName name="Nip_Data_Siswa" localSheetId="4">#REF!</definedName>
    <definedName name="Nip_Data_Siswa" localSheetId="2">#REF!</definedName>
    <definedName name="Nip_Data_Siswa" localSheetId="13">#REF!</definedName>
    <definedName name="Nip_Data_Siswa" localSheetId="10">#REF!</definedName>
    <definedName name="Nip_Data_Siswa" localSheetId="11">#REF!</definedName>
    <definedName name="Nip_Data_Siswa" localSheetId="7">#REF!</definedName>
    <definedName name="Nip_Data_Siswa">#REF!</definedName>
    <definedName name="NIPKORWAS">[5]DATA!$E$24</definedName>
    <definedName name="nyusun">[1]AngkaKredit!$C$70:$H$82</definedName>
    <definedName name="Ok">[1]SKP!$P$6</definedName>
    <definedName name="pangkat">[1]DataPengawas!$K$6:$N$18</definedName>
    <definedName name="PENGOLAHAN" localSheetId="0">#REF!</definedName>
    <definedName name="PENGOLAHAN" localSheetId="4">#REF!</definedName>
    <definedName name="PENGOLAHAN" localSheetId="2">#REF!</definedName>
    <definedName name="PENGOLAHAN" localSheetId="13">#REF!</definedName>
    <definedName name="PENGOLAHAN" localSheetId="10">#REF!</definedName>
    <definedName name="PENGOLAHAN" localSheetId="11">#REF!</definedName>
    <definedName name="PENGOLAHAN" localSheetId="7">#REF!</definedName>
    <definedName name="PENGOLAHAN">#REF!</definedName>
    <definedName name="penjas" localSheetId="0">#REF!</definedName>
    <definedName name="penjas" localSheetId="4">#REF!</definedName>
    <definedName name="penjas" localSheetId="2">#REF!</definedName>
    <definedName name="penjas" localSheetId="13">#REF!</definedName>
    <definedName name="penjas" localSheetId="10">#REF!</definedName>
    <definedName name="penjas" localSheetId="11">#REF!</definedName>
    <definedName name="penjas" localSheetId="7">#REF!</definedName>
    <definedName name="penjas">#REF!</definedName>
    <definedName name="penunjang">[1]AngkaKredit!$E$113:$H$127</definedName>
    <definedName name="penunjang2">[1]Penunjang!$B$6:$U$143</definedName>
    <definedName name="PICT" localSheetId="0">INDEX([7]database!#REF!,MATCH([7]KartuPG!$I$11,[7]database!$G$4:$G$65,0))</definedName>
    <definedName name="PICT" localSheetId="4">INDEX([7]database!#REF!,MATCH([7]KartuPG!$I$11,[7]database!$G$4:$G$65,0))</definedName>
    <definedName name="PICT" localSheetId="2">INDEX([7]database!#REF!,MATCH([7]KartuPG!$I$11,[7]database!$G$4:$G$65,0))</definedName>
    <definedName name="PICT" localSheetId="13">INDEX([7]database!#REF!,MATCH([7]KartuPG!$I$11,[7]database!$G$4:$G$65,0))</definedName>
    <definedName name="PICT" localSheetId="10">INDEX([7]database!#REF!,MATCH([7]KartuPG!$I$11,[7]database!$G$4:$G$65,0))</definedName>
    <definedName name="PICT" localSheetId="11">INDEX([7]database!#REF!,MATCH([7]KartuPG!$I$11,[7]database!$G$4:$G$65,0))</definedName>
    <definedName name="PICT" localSheetId="7">INDEX([7]database!#REF!,MATCH([7]KartuPG!$I$11,[7]database!$G$4:$G$65,0))</definedName>
    <definedName name="PICT">INDEX([7]database!#REF!,MATCH([7]KartuPG!$I$11,[7]database!$G$4:$G$65,0))</definedName>
    <definedName name="pkn" localSheetId="0">#REF!</definedName>
    <definedName name="pkn" localSheetId="4">#REF!</definedName>
    <definedName name="pkn" localSheetId="2">#REF!</definedName>
    <definedName name="pkn" localSheetId="13">#REF!</definedName>
    <definedName name="pkn" localSheetId="10">#REF!</definedName>
    <definedName name="pkn" localSheetId="11">#REF!</definedName>
    <definedName name="pkn" localSheetId="7">#REF!</definedName>
    <definedName name="pkn">#REF!</definedName>
    <definedName name="pra" localSheetId="0">#REF!</definedName>
    <definedName name="pra" localSheetId="4">#REF!</definedName>
    <definedName name="pra" localSheetId="2">#REF!</definedName>
    <definedName name="pra" localSheetId="13">#REF!</definedName>
    <definedName name="pra" localSheetId="10">#REF!</definedName>
    <definedName name="pra" localSheetId="11">#REF!</definedName>
    <definedName name="pra" localSheetId="7">#REF!</definedName>
    <definedName name="pra">#REF!</definedName>
    <definedName name="prilaku2">[1]PrilakuKerja!$B$7:$P$143</definedName>
    <definedName name="_xlnm.Print_Area" localSheetId="12">'00 DATA'!$B$2:$Q$27</definedName>
    <definedName name="_xlnm.Print_Area" localSheetId="6">BERAHLAK!$B$2:$I$53</definedName>
    <definedName name="_xlnm.Print_Area" localSheetId="0">COVER!$B$2:$K$49</definedName>
    <definedName name="_xlnm.Print_Area" localSheetId="4">'DOK. EVALUASI KINERJA PEGAW (2'!$B$2:$E$61</definedName>
    <definedName name="_xlnm.Print_Area" localSheetId="3">'DOK. EVALUASI KINERJA PEGAWAI'!$B$2:$E$50</definedName>
    <definedName name="_xlnm.Print_Area" localSheetId="5">'EVALUASI KINERJA KUANTI JF'!$B$2:$N$90</definedName>
    <definedName name="_xlnm.Print_Area" localSheetId="2">'EVALUASI KINERJA KUANTI JF (2)'!$B$2:$N$90</definedName>
    <definedName name="_xlnm.Print_Area" localSheetId="13">HOME!$B$2:$M$24</definedName>
    <definedName name="_xlnm.Print_Area" localSheetId="8">KUADRAN!$B$2:$E$29</definedName>
    <definedName name="_xlnm.Print_Area" localSheetId="10">'MPH_1-2'!$B$2:$J$14</definedName>
    <definedName name="_xlnm.Print_Area" localSheetId="9">'POLA DISTRIBUSI'!$B$2:$O$19</definedName>
    <definedName name="_xlnm.Print_Area" localSheetId="1">'SKP JF (KUANTITATIF)'!$B$2:$K$101</definedName>
    <definedName name="_xlnm.Print_Area" localSheetId="11">TUPOKSI!$B$2:$F$43</definedName>
    <definedName name="_xlnm.Print_Area" localSheetId="7">'UMPAN-BALIK'!$B$1:$P$53</definedName>
    <definedName name="program">[1]AngkaKredit!$C$5:$H$17</definedName>
    <definedName name="qh" localSheetId="0">#REF!</definedName>
    <definedName name="qh" localSheetId="4">#REF!</definedName>
    <definedName name="qh" localSheetId="2">#REF!</definedName>
    <definedName name="qh" localSheetId="13">#REF!</definedName>
    <definedName name="qh" localSheetId="10">#REF!</definedName>
    <definedName name="qh" localSheetId="11">#REF!</definedName>
    <definedName name="qh" localSheetId="7">#REF!</definedName>
    <definedName name="qh">#REF!</definedName>
    <definedName name="rata_nilai">[7]DS!$AB$14:$AI$15</definedName>
    <definedName name="realisasi2">[1]Realisasi!$B$7:$AV$143</definedName>
    <definedName name="reg" localSheetId="0">#REF!</definedName>
    <definedName name="reg" localSheetId="4">#REF!</definedName>
    <definedName name="reg" localSheetId="2">#REF!</definedName>
    <definedName name="reg" localSheetId="13">#REF!</definedName>
    <definedName name="reg" localSheetId="10">#REF!</definedName>
    <definedName name="reg" localSheetId="11">#REF!</definedName>
    <definedName name="reg" localSheetId="7">#REF!</definedName>
    <definedName name="reg">#REF!</definedName>
    <definedName name="REKAYASA" localSheetId="0">#REF!</definedName>
    <definedName name="REKAYASA" localSheetId="4">#REF!</definedName>
    <definedName name="REKAYASA" localSheetId="2">#REF!</definedName>
    <definedName name="REKAYASA" localSheetId="13">#REF!</definedName>
    <definedName name="REKAYASA" localSheetId="10">#REF!</definedName>
    <definedName name="REKAYASA" localSheetId="11">#REF!</definedName>
    <definedName name="REKAYASA" localSheetId="7">#REF!</definedName>
    <definedName name="REKAYASA">#REF!</definedName>
    <definedName name="remedial" localSheetId="0">#REF!</definedName>
    <definedName name="remedial" localSheetId="4">#REF!</definedName>
    <definedName name="remedial" localSheetId="2">#REF!</definedName>
    <definedName name="remedial" localSheetId="13">#REF!</definedName>
    <definedName name="remedial" localSheetId="10">#REF!</definedName>
    <definedName name="remedial" localSheetId="11">#REF!</definedName>
    <definedName name="remedial" localSheetId="7">#REF!</definedName>
    <definedName name="remedial">#REF!</definedName>
    <definedName name="rencana" localSheetId="0">#REF!</definedName>
    <definedName name="rencana" localSheetId="4">#REF!</definedName>
    <definedName name="rencana" localSheetId="2">#REF!</definedName>
    <definedName name="rencana" localSheetId="13">#REF!</definedName>
    <definedName name="rencana" localSheetId="10">#REF!</definedName>
    <definedName name="rencana" localSheetId="11">#REF!</definedName>
    <definedName name="rencana" localSheetId="7">#REF!</definedName>
    <definedName name="rencana">#REF!</definedName>
    <definedName name="Sanserlis">[5]DATA!$E$39</definedName>
    <definedName name="sb" localSheetId="0">#REF!</definedName>
    <definedName name="sb" localSheetId="4">#REF!</definedName>
    <definedName name="sb" localSheetId="2">#REF!</definedName>
    <definedName name="sb" localSheetId="13">#REF!</definedName>
    <definedName name="sb" localSheetId="10">#REF!</definedName>
    <definedName name="sb" localSheetId="11">#REF!</definedName>
    <definedName name="sb" localSheetId="7">#REF!</definedName>
    <definedName name="sb">#REF!</definedName>
    <definedName name="SKOR" localSheetId="0">#REF!</definedName>
    <definedName name="SKOR" localSheetId="4">#REF!</definedName>
    <definedName name="SKOR" localSheetId="2">#REF!</definedName>
    <definedName name="SKOR" localSheetId="13">#REF!</definedName>
    <definedName name="SKOR" localSheetId="10">#REF!</definedName>
    <definedName name="SKOR" localSheetId="11">#REF!</definedName>
    <definedName name="SKOR" localSheetId="7">#REF!</definedName>
    <definedName name="SKOR">#REF!</definedName>
    <definedName name="SoalEsy">[7]RSoalEs!$A$7:$H$26</definedName>
    <definedName name="SoalPG">[7]database!$A$6:$L$65</definedName>
    <definedName name="Target">[1]Target!$B$7:$AG$144</definedName>
    <definedName name="target2">[1]Target!$B$7:$AG$143</definedName>
    <definedName name="target3">[1]Target!$B$7:$AQ$143</definedName>
    <definedName name="target4">[1]Target!$B$7:$AU$143</definedName>
    <definedName name="TT">[1]Penunjang!$B$6:$T$143</definedName>
    <definedName name="tugas">'[3]AK BK'!$G$228:$I$233</definedName>
    <definedName name="TugasTambahan">[1]Penunjang!$B$6:$S$142</definedName>
    <definedName name="Tuta">[1]Penunjang!$B$6:$U$142</definedName>
    <definedName name="User" localSheetId="0">#REF!</definedName>
    <definedName name="User" localSheetId="4">#REF!</definedName>
    <definedName name="User" localSheetId="2">#REF!</definedName>
    <definedName name="User" localSheetId="13">#REF!</definedName>
    <definedName name="User" localSheetId="10">#REF!</definedName>
    <definedName name="User" localSheetId="11">#REF!</definedName>
    <definedName name="User" localSheetId="7">#REF!</definedName>
    <definedName name="User">#REF!</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0" i="1" l="1"/>
  <c r="B81" i="1" s="1"/>
  <c r="B82" i="1" s="1"/>
  <c r="B79" i="1"/>
  <c r="B78" i="1"/>
  <c r="B77" i="1"/>
  <c r="B76" i="1"/>
  <c r="C82" i="1"/>
  <c r="C81" i="1"/>
  <c r="C80" i="1"/>
  <c r="C79" i="1"/>
  <c r="C78" i="1"/>
  <c r="C77" i="1"/>
  <c r="C76" i="1"/>
  <c r="J8" i="19" l="1"/>
  <c r="J6" i="19" s="1"/>
  <c r="I8" i="19"/>
  <c r="I6" i="19" s="1"/>
  <c r="H8" i="19"/>
  <c r="H6" i="19" s="1"/>
  <c r="G8" i="19"/>
  <c r="G6" i="19" s="1"/>
  <c r="F8" i="19"/>
  <c r="F6" i="19" s="1"/>
  <c r="E8" i="19"/>
  <c r="E6" i="19" s="1"/>
  <c r="D8" i="19"/>
  <c r="D6" i="19" s="1"/>
  <c r="M74" i="4" l="1"/>
  <c r="M62" i="4"/>
  <c r="M54" i="4"/>
  <c r="C1" i="18"/>
  <c r="C5" i="18" s="1"/>
  <c r="C26" i="18"/>
  <c r="C43" i="18"/>
  <c r="C36" i="18"/>
  <c r="M66" i="4" s="1"/>
  <c r="C27" i="18"/>
  <c r="C17" i="18"/>
  <c r="C16" i="18"/>
  <c r="C25" i="18" l="1"/>
  <c r="C44" i="18"/>
  <c r="C35" i="18"/>
  <c r="C51" i="18"/>
  <c r="M60" i="4"/>
  <c r="M70" i="4"/>
  <c r="C8" i="18"/>
  <c r="C21" i="18"/>
  <c r="C30" i="18"/>
  <c r="C39" i="18"/>
  <c r="C47" i="18"/>
  <c r="C9" i="18"/>
  <c r="C22" i="18"/>
  <c r="C31" i="18"/>
  <c r="C40" i="18"/>
  <c r="C48" i="18"/>
  <c r="C19" i="18"/>
  <c r="C6" i="18"/>
  <c r="C13" i="18"/>
  <c r="C18" i="18"/>
  <c r="C23" i="18"/>
  <c r="C28" i="18"/>
  <c r="C32" i="18"/>
  <c r="C37" i="18"/>
  <c r="C41" i="18"/>
  <c r="C45" i="18"/>
  <c r="C49" i="18"/>
  <c r="C53" i="18"/>
  <c r="C12" i="18"/>
  <c r="C52" i="18"/>
  <c r="C7" i="18"/>
  <c r="C14" i="18"/>
  <c r="C20" i="18"/>
  <c r="C24" i="18"/>
  <c r="C29" i="18"/>
  <c r="C34" i="18"/>
  <c r="C38" i="18"/>
  <c r="C42" i="18"/>
  <c r="C46" i="18"/>
  <c r="C50" i="18"/>
  <c r="C33" i="18"/>
  <c r="K22" i="13"/>
  <c r="M56" i="4" l="1"/>
  <c r="M68" i="4"/>
  <c r="M72" i="4"/>
  <c r="M52" i="4"/>
  <c r="M50" i="4"/>
  <c r="M64" i="4"/>
  <c r="M48" i="4"/>
  <c r="M58" i="4"/>
  <c r="Y74" i="4"/>
  <c r="X74" i="4"/>
  <c r="Y73" i="4"/>
  <c r="X73" i="4"/>
  <c r="X72" i="4"/>
  <c r="X70" i="4"/>
  <c r="Y69" i="4"/>
  <c r="X69" i="4"/>
  <c r="X68" i="4"/>
  <c r="X66" i="4"/>
  <c r="Y65" i="4"/>
  <c r="X65" i="4"/>
  <c r="X64" i="4"/>
  <c r="Y62" i="4"/>
  <c r="X62" i="4"/>
  <c r="Y61" i="4"/>
  <c r="X61" i="4"/>
  <c r="X60" i="4"/>
  <c r="Y58" i="4"/>
  <c r="X58" i="4"/>
  <c r="Y57" i="4"/>
  <c r="X57" i="4"/>
  <c r="X56" i="4"/>
  <c r="X54" i="4"/>
  <c r="Y53" i="4"/>
  <c r="X53" i="4"/>
  <c r="X52" i="4"/>
  <c r="Y50" i="4"/>
  <c r="X50" i="4"/>
  <c r="Y49" i="4"/>
  <c r="X49" i="4"/>
  <c r="X48" i="4"/>
  <c r="X75" i="4" s="1"/>
  <c r="R75" i="4" s="1"/>
  <c r="Y75" i="4" l="1"/>
  <c r="S75" i="4" s="1"/>
  <c r="D36" i="1"/>
  <c r="C36" i="1"/>
  <c r="D33" i="1"/>
  <c r="C33" i="1"/>
  <c r="D29" i="1"/>
  <c r="C29" i="1"/>
  <c r="D26" i="1"/>
  <c r="C26" i="1"/>
  <c r="D23" i="1"/>
  <c r="C23" i="1"/>
  <c r="D20" i="1"/>
  <c r="C20" i="1"/>
  <c r="D17" i="1"/>
  <c r="C17" i="1"/>
  <c r="I53" i="8" l="1"/>
  <c r="I52" i="8"/>
  <c r="I51" i="8"/>
  <c r="I50" i="8"/>
  <c r="I49" i="8"/>
  <c r="I48" i="8"/>
  <c r="I47" i="8"/>
  <c r="I46" i="8"/>
  <c r="I45" i="8"/>
  <c r="I44" i="8"/>
  <c r="I43" i="8"/>
  <c r="I42" i="8"/>
  <c r="I41" i="8"/>
  <c r="I40" i="8"/>
  <c r="I39" i="8"/>
  <c r="I38" i="8"/>
  <c r="I37" i="8"/>
  <c r="I36" i="8"/>
  <c r="I35" i="8"/>
  <c r="I34" i="8"/>
  <c r="I33" i="8"/>
  <c r="I32" i="8"/>
  <c r="I31" i="8"/>
  <c r="I30" i="8"/>
  <c r="I29" i="8"/>
  <c r="I28" i="8"/>
  <c r="I27" i="8"/>
  <c r="I26" i="8"/>
  <c r="I25" i="8"/>
  <c r="I24" i="8"/>
  <c r="I23" i="8"/>
  <c r="I22" i="8"/>
  <c r="I21" i="8"/>
  <c r="I20" i="8"/>
  <c r="I19" i="8"/>
  <c r="I18" i="8"/>
  <c r="I17" i="8"/>
  <c r="I16" i="8"/>
  <c r="I15" i="8"/>
  <c r="I14" i="8"/>
  <c r="I13" i="8"/>
  <c r="I12"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 i="8"/>
  <c r="I1" i="8"/>
  <c r="I11" i="8" s="1"/>
  <c r="I8" i="8" l="1"/>
  <c r="I9" i="8"/>
  <c r="I6" i="8"/>
  <c r="I10" i="8"/>
  <c r="I7" i="8"/>
  <c r="C41" i="1" l="1"/>
  <c r="K40" i="13" l="1"/>
  <c r="J40" i="13"/>
  <c r="I40" i="13"/>
  <c r="G40" i="13"/>
  <c r="F40" i="13"/>
  <c r="K39" i="13"/>
  <c r="L39" i="13" s="1"/>
  <c r="J39" i="13"/>
  <c r="I39" i="13"/>
  <c r="G39" i="13"/>
  <c r="F39" i="13"/>
  <c r="K38" i="13"/>
  <c r="J38" i="13"/>
  <c r="I38" i="13"/>
  <c r="G38" i="13"/>
  <c r="F38" i="13"/>
  <c r="D38" i="13"/>
  <c r="C38" i="13"/>
  <c r="B38" i="13"/>
  <c r="L40" i="4"/>
  <c r="L40" i="13" s="1"/>
  <c r="J40" i="4"/>
  <c r="I40" i="4"/>
  <c r="P40" i="4" s="1"/>
  <c r="Q40" i="4" s="1"/>
  <c r="G40" i="4"/>
  <c r="F40" i="4"/>
  <c r="L39" i="4"/>
  <c r="J39" i="4"/>
  <c r="I39" i="4"/>
  <c r="P39" i="4" s="1"/>
  <c r="Q39" i="4" s="1"/>
  <c r="G39" i="4"/>
  <c r="F39" i="4"/>
  <c r="L38" i="4"/>
  <c r="L38" i="13" s="1"/>
  <c r="J38" i="4"/>
  <c r="I38" i="4"/>
  <c r="P38" i="4" s="1"/>
  <c r="Q38" i="4" s="1"/>
  <c r="G38" i="4"/>
  <c r="F38" i="4"/>
  <c r="D38" i="4"/>
  <c r="C38" i="4"/>
  <c r="B38" i="4"/>
  <c r="P39" i="13" l="1"/>
  <c r="Q39" i="13" s="1"/>
  <c r="N39" i="13" s="1"/>
  <c r="P38" i="13"/>
  <c r="Q38" i="13" s="1"/>
  <c r="P40" i="13"/>
  <c r="Q40" i="13" s="1"/>
  <c r="M40" i="13" s="1"/>
  <c r="N40" i="4"/>
  <c r="M40" i="4"/>
  <c r="M39" i="4"/>
  <c r="N39" i="4"/>
  <c r="N38" i="4"/>
  <c r="M38" i="4"/>
  <c r="M39" i="13" l="1"/>
  <c r="M38" i="13"/>
  <c r="N38" i="13"/>
  <c r="N40" i="13"/>
  <c r="P6" i="7"/>
  <c r="B15" i="4" s="1"/>
  <c r="D54" i="14" l="1"/>
  <c r="E46" i="14"/>
  <c r="C46" i="14"/>
  <c r="E35" i="14"/>
  <c r="E32" i="14"/>
  <c r="E31" i="14"/>
  <c r="E30" i="14"/>
  <c r="D60" i="14" s="1"/>
  <c r="E29" i="14"/>
  <c r="D59" i="14" s="1"/>
  <c r="D14" i="14"/>
  <c r="B15" i="13" l="1"/>
  <c r="A1" i="13"/>
  <c r="B76" i="13" l="1"/>
  <c r="B45" i="13"/>
  <c r="K43" i="13"/>
  <c r="K42" i="13"/>
  <c r="L42" i="13" s="1"/>
  <c r="K41" i="13"/>
  <c r="K36" i="13"/>
  <c r="K35" i="13"/>
  <c r="L35" i="13" s="1"/>
  <c r="K34" i="13"/>
  <c r="K33" i="13"/>
  <c r="K32" i="13"/>
  <c r="L32" i="13" s="1"/>
  <c r="K31" i="13"/>
  <c r="K30" i="13"/>
  <c r="K29" i="13"/>
  <c r="L29" i="13" s="1"/>
  <c r="K28" i="13"/>
  <c r="K27" i="13"/>
  <c r="K26" i="13"/>
  <c r="L26" i="13" s="1"/>
  <c r="K25" i="13"/>
  <c r="K24" i="13"/>
  <c r="K23" i="13"/>
  <c r="L23" i="13" s="1"/>
  <c r="T74" i="13"/>
  <c r="N74" i="13" s="1"/>
  <c r="T72" i="13"/>
  <c r="N72" i="13" s="1"/>
  <c r="T70" i="13"/>
  <c r="N70" i="13" s="1"/>
  <c r="T68" i="13"/>
  <c r="N68" i="13" s="1"/>
  <c r="T63" i="13"/>
  <c r="T66" i="13"/>
  <c r="N66" i="13" s="1"/>
  <c r="T64" i="13"/>
  <c r="N64" i="13" s="1"/>
  <c r="T62" i="13"/>
  <c r="N62" i="13" s="1"/>
  <c r="T60" i="13"/>
  <c r="N60" i="13" s="1"/>
  <c r="T56" i="13"/>
  <c r="N56" i="13" s="1"/>
  <c r="T58" i="13"/>
  <c r="N58" i="13" s="1"/>
  <c r="T54" i="13"/>
  <c r="N54" i="13" s="1"/>
  <c r="T52" i="13"/>
  <c r="N52" i="13" s="1"/>
  <c r="T50" i="13"/>
  <c r="N50" i="13" s="1"/>
  <c r="T48" i="13"/>
  <c r="N48" i="13" s="1"/>
  <c r="S75" i="13"/>
  <c r="S74" i="13"/>
  <c r="I74" i="13" s="1"/>
  <c r="S73" i="13"/>
  <c r="I73" i="13" s="1"/>
  <c r="S69" i="13"/>
  <c r="I69" i="13" s="1"/>
  <c r="S65" i="13"/>
  <c r="S62" i="13"/>
  <c r="I62" i="13" s="1"/>
  <c r="S61" i="13"/>
  <c r="I61" i="13" s="1"/>
  <c r="S58" i="13"/>
  <c r="I58" i="13" s="1"/>
  <c r="S57" i="13"/>
  <c r="S53" i="13"/>
  <c r="I53" i="13" s="1"/>
  <c r="S50" i="13"/>
  <c r="I50" i="13" s="1"/>
  <c r="S49" i="13"/>
  <c r="I49" i="13" s="1"/>
  <c r="R75" i="13"/>
  <c r="R74" i="13"/>
  <c r="C74" i="13" s="1"/>
  <c r="R73" i="13"/>
  <c r="C73" i="13" s="1"/>
  <c r="R72" i="13"/>
  <c r="C72" i="13" s="1"/>
  <c r="R71" i="13"/>
  <c r="R70" i="13"/>
  <c r="C70" i="13" s="1"/>
  <c r="R69" i="13"/>
  <c r="C69" i="13" s="1"/>
  <c r="R68" i="13"/>
  <c r="C68" i="13" s="1"/>
  <c r="R67" i="13"/>
  <c r="C67" i="13" s="1"/>
  <c r="R66" i="13"/>
  <c r="C66" i="13" s="1"/>
  <c r="R65" i="13"/>
  <c r="C65" i="13" s="1"/>
  <c r="R64" i="13"/>
  <c r="C64" i="13" s="1"/>
  <c r="R63" i="13"/>
  <c r="R62" i="13"/>
  <c r="C62" i="13" s="1"/>
  <c r="R61" i="13"/>
  <c r="C61" i="13" s="1"/>
  <c r="R60" i="13"/>
  <c r="C60" i="13" s="1"/>
  <c r="R59" i="13"/>
  <c r="R58" i="13"/>
  <c r="C58" i="13" s="1"/>
  <c r="R57" i="13"/>
  <c r="C57" i="13" s="1"/>
  <c r="R56" i="13"/>
  <c r="C56" i="13" s="1"/>
  <c r="R55" i="13"/>
  <c r="R54" i="13"/>
  <c r="C54" i="13" s="1"/>
  <c r="R53" i="13"/>
  <c r="C53" i="13" s="1"/>
  <c r="R52" i="13"/>
  <c r="C52" i="13" s="1"/>
  <c r="R51" i="13"/>
  <c r="R50" i="13"/>
  <c r="C50" i="13" s="1"/>
  <c r="R49" i="13"/>
  <c r="C49" i="13" s="1"/>
  <c r="R47" i="13"/>
  <c r="C47" i="13" s="1"/>
  <c r="R48" i="13"/>
  <c r="C48" i="13" s="1"/>
  <c r="J82" i="13"/>
  <c r="C71" i="13"/>
  <c r="B71" i="13"/>
  <c r="I70" i="13"/>
  <c r="B67" i="13"/>
  <c r="I66" i="13"/>
  <c r="I65" i="13"/>
  <c r="C63" i="13"/>
  <c r="B63" i="13"/>
  <c r="C59" i="13"/>
  <c r="B59" i="13"/>
  <c r="I57" i="13"/>
  <c r="C55" i="13"/>
  <c r="B55" i="13"/>
  <c r="I54" i="13"/>
  <c r="C51" i="13"/>
  <c r="B51" i="13"/>
  <c r="B47" i="13"/>
  <c r="J43" i="13"/>
  <c r="I43" i="13"/>
  <c r="G43" i="13"/>
  <c r="F43" i="13"/>
  <c r="J42" i="13"/>
  <c r="I42" i="13"/>
  <c r="G42" i="13"/>
  <c r="F42" i="13"/>
  <c r="J41" i="13"/>
  <c r="I41" i="13"/>
  <c r="G41" i="13"/>
  <c r="F41" i="13"/>
  <c r="D41" i="13"/>
  <c r="C41" i="13"/>
  <c r="B41" i="13"/>
  <c r="J36" i="13"/>
  <c r="I36" i="13"/>
  <c r="G36" i="13"/>
  <c r="F36" i="13"/>
  <c r="J35" i="13"/>
  <c r="I35" i="13"/>
  <c r="G35" i="13"/>
  <c r="F35" i="13"/>
  <c r="J34" i="13"/>
  <c r="I34" i="13"/>
  <c r="G34" i="13"/>
  <c r="F34" i="13"/>
  <c r="D34" i="13"/>
  <c r="B34" i="13"/>
  <c r="J33" i="13"/>
  <c r="I33" i="13"/>
  <c r="G33" i="13"/>
  <c r="F33" i="13"/>
  <c r="J32" i="13"/>
  <c r="I32" i="13"/>
  <c r="G32" i="13"/>
  <c r="F32" i="13"/>
  <c r="J31" i="13"/>
  <c r="I31" i="13"/>
  <c r="G31" i="13"/>
  <c r="F31" i="13"/>
  <c r="D31" i="13"/>
  <c r="B31" i="13"/>
  <c r="J30" i="13"/>
  <c r="I30" i="13"/>
  <c r="G30" i="13"/>
  <c r="F30" i="13"/>
  <c r="J29" i="13"/>
  <c r="I29" i="13"/>
  <c r="G29" i="13"/>
  <c r="F29" i="13"/>
  <c r="J28" i="13"/>
  <c r="I28" i="13"/>
  <c r="G28" i="13"/>
  <c r="F28" i="13"/>
  <c r="D28" i="13"/>
  <c r="B28" i="13"/>
  <c r="J27" i="13"/>
  <c r="I27" i="13"/>
  <c r="G27" i="13"/>
  <c r="F27" i="13"/>
  <c r="J26" i="13"/>
  <c r="I26" i="13"/>
  <c r="G26" i="13"/>
  <c r="F26" i="13"/>
  <c r="J25" i="13"/>
  <c r="I25" i="13"/>
  <c r="G25" i="13"/>
  <c r="F25" i="13"/>
  <c r="D25" i="13"/>
  <c r="C25" i="13"/>
  <c r="B25" i="13"/>
  <c r="V24" i="13"/>
  <c r="J24" i="13"/>
  <c r="I24" i="13"/>
  <c r="G24" i="13"/>
  <c r="F24" i="13"/>
  <c r="J23" i="13"/>
  <c r="I23" i="13"/>
  <c r="P23" i="13" s="1"/>
  <c r="Q23" i="13" s="1"/>
  <c r="G23" i="13"/>
  <c r="F23" i="13"/>
  <c r="J22" i="13"/>
  <c r="I22" i="13"/>
  <c r="P22" i="13" s="1"/>
  <c r="G22" i="13"/>
  <c r="F22" i="13"/>
  <c r="D22" i="13"/>
  <c r="C22" i="13"/>
  <c r="B22" i="13"/>
  <c r="L12" i="13"/>
  <c r="L11" i="13"/>
  <c r="L10" i="13"/>
  <c r="J88" i="13" s="1"/>
  <c r="L9" i="13"/>
  <c r="J87" i="13" s="1"/>
  <c r="P35" i="13" l="1"/>
  <c r="Q35" i="13" s="1"/>
  <c r="N35" i="13" s="1"/>
  <c r="P31" i="13"/>
  <c r="Q31" i="13" s="1"/>
  <c r="M31" i="13" s="1"/>
  <c r="P30" i="13"/>
  <c r="Q30" i="13" s="1"/>
  <c r="M30" i="13" s="1"/>
  <c r="P26" i="13"/>
  <c r="Q26" i="13" s="1"/>
  <c r="M26" i="13" s="1"/>
  <c r="P41" i="13"/>
  <c r="Q41" i="13" s="1"/>
  <c r="R39" i="13" s="1"/>
  <c r="P27" i="13"/>
  <c r="Q27" i="13" s="1"/>
  <c r="M27" i="13" s="1"/>
  <c r="P28" i="13"/>
  <c r="Q28" i="13" s="1"/>
  <c r="M28" i="13" s="1"/>
  <c r="P25" i="13"/>
  <c r="Q25" i="13" s="1"/>
  <c r="M25" i="13" s="1"/>
  <c r="P43" i="13"/>
  <c r="Q43" i="13" s="1"/>
  <c r="N43" i="13" s="1"/>
  <c r="P33" i="13"/>
  <c r="Q33" i="13" s="1"/>
  <c r="N33" i="13" s="1"/>
  <c r="P24" i="13"/>
  <c r="Q24" i="13" s="1"/>
  <c r="N24" i="13" s="1"/>
  <c r="P34" i="13"/>
  <c r="Q34" i="13" s="1"/>
  <c r="N34" i="13" s="1"/>
  <c r="P32" i="13"/>
  <c r="Q32" i="13" s="1"/>
  <c r="N32" i="13" s="1"/>
  <c r="P42" i="13"/>
  <c r="Q42" i="13" s="1"/>
  <c r="N42" i="13" s="1"/>
  <c r="P36" i="13"/>
  <c r="Q36" i="13" s="1"/>
  <c r="M36" i="13" s="1"/>
  <c r="P29" i="13"/>
  <c r="Q29" i="13" s="1"/>
  <c r="N29" i="13" s="1"/>
  <c r="S76" i="13"/>
  <c r="S77" i="13" s="1"/>
  <c r="R76" i="13"/>
  <c r="R77" i="13" s="1"/>
  <c r="Q22" i="13"/>
  <c r="M23" i="13"/>
  <c r="N23" i="13"/>
  <c r="M35" i="13" l="1"/>
  <c r="N31" i="13"/>
  <c r="N30" i="13"/>
  <c r="N26" i="13"/>
  <c r="P44" i="13"/>
  <c r="Q44" i="13" s="1"/>
  <c r="R42" i="13" s="1"/>
  <c r="N41" i="13"/>
  <c r="M41" i="13"/>
  <c r="M34" i="13"/>
  <c r="M33" i="13"/>
  <c r="N28" i="13"/>
  <c r="N27" i="13"/>
  <c r="N25" i="13"/>
  <c r="M29" i="13"/>
  <c r="M42" i="13"/>
  <c r="M24" i="13"/>
  <c r="R78" i="13"/>
  <c r="S78" i="13" s="1"/>
  <c r="S71" i="13" s="1"/>
  <c r="M43" i="13"/>
  <c r="M32" i="13"/>
  <c r="N36" i="13"/>
  <c r="N22" i="13"/>
  <c r="M22" i="13"/>
  <c r="I49" i="4"/>
  <c r="H93" i="1" l="1"/>
  <c r="V24" i="4" l="1"/>
  <c r="L43" i="4"/>
  <c r="L43" i="13" s="1"/>
  <c r="L36" i="4"/>
  <c r="L36" i="13" s="1"/>
  <c r="L33" i="4"/>
  <c r="L33" i="13" s="1"/>
  <c r="L30" i="4"/>
  <c r="L30" i="13" s="1"/>
  <c r="L27" i="4"/>
  <c r="L27" i="13" s="1"/>
  <c r="L24" i="4"/>
  <c r="L24" i="13" s="1"/>
  <c r="L42" i="4" l="1"/>
  <c r="L41" i="4"/>
  <c r="L41" i="13" s="1"/>
  <c r="L35" i="4"/>
  <c r="L34" i="4"/>
  <c r="L34" i="13" s="1"/>
  <c r="L32" i="4"/>
  <c r="L31" i="4"/>
  <c r="L31" i="13" s="1"/>
  <c r="L29" i="4"/>
  <c r="L28" i="4"/>
  <c r="L28" i="13" s="1"/>
  <c r="L26" i="4"/>
  <c r="L25" i="4"/>
  <c r="L25" i="13" s="1"/>
  <c r="L23" i="4"/>
  <c r="L22" i="4"/>
  <c r="L22" i="13" s="1"/>
  <c r="I23" i="4"/>
  <c r="I22" i="4"/>
  <c r="C28" i="13" l="1"/>
  <c r="F1" i="7"/>
  <c r="C34" i="13" l="1"/>
  <c r="C31" i="13"/>
  <c r="I41" i="4" l="1"/>
  <c r="I34" i="4"/>
  <c r="I31" i="4"/>
  <c r="I28" i="4"/>
  <c r="I25" i="4"/>
  <c r="L12" i="4" l="1"/>
  <c r="L11" i="4"/>
  <c r="L10" i="4"/>
  <c r="L9" i="4"/>
  <c r="J88" i="4" l="1"/>
  <c r="E24" i="14"/>
  <c r="E52" i="14" s="1"/>
  <c r="E26" i="5"/>
  <c r="E26" i="14"/>
  <c r="E23" i="5"/>
  <c r="E23" i="14"/>
  <c r="E51" i="14" s="1"/>
  <c r="E25" i="5"/>
  <c r="E25" i="14"/>
  <c r="E24" i="5"/>
  <c r="I70" i="4" l="1"/>
  <c r="S76" i="4"/>
  <c r="S77" i="4" s="1"/>
  <c r="R76" i="4"/>
  <c r="R77" i="4" s="1"/>
  <c r="R78" i="4" l="1"/>
  <c r="S78" i="4" l="1"/>
  <c r="S71" i="4" s="1"/>
  <c r="C42" i="5"/>
  <c r="E42" i="5"/>
  <c r="E32" i="5"/>
  <c r="E31" i="5"/>
  <c r="E30" i="5"/>
  <c r="E29" i="5"/>
  <c r="J82" i="4"/>
  <c r="I74" i="4"/>
  <c r="I73" i="4"/>
  <c r="I69" i="4"/>
  <c r="I66" i="4"/>
  <c r="I65" i="4"/>
  <c r="I62" i="4"/>
  <c r="I61" i="4"/>
  <c r="I58" i="4"/>
  <c r="I57" i="4"/>
  <c r="I54" i="4"/>
  <c r="I53" i="4"/>
  <c r="I50" i="4"/>
  <c r="F42" i="1"/>
  <c r="B71" i="4"/>
  <c r="B67" i="4"/>
  <c r="B63" i="4"/>
  <c r="B59" i="4"/>
  <c r="B55" i="4"/>
  <c r="B51" i="4"/>
  <c r="B47"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0" i="1"/>
  <c r="J43" i="4" l="1"/>
  <c r="I43" i="4"/>
  <c r="P43" i="4" s="1"/>
  <c r="Q43" i="4" s="1"/>
  <c r="N43" i="4" s="1"/>
  <c r="G43" i="4"/>
  <c r="F43" i="4"/>
  <c r="J42" i="4"/>
  <c r="I42" i="4"/>
  <c r="P42" i="4" s="1"/>
  <c r="G42" i="4"/>
  <c r="F42" i="4"/>
  <c r="J41" i="4"/>
  <c r="P41" i="4"/>
  <c r="Q41" i="4" s="1"/>
  <c r="N41" i="4" s="1"/>
  <c r="G41" i="4"/>
  <c r="F41" i="4"/>
  <c r="D41" i="4"/>
  <c r="C41" i="4"/>
  <c r="B41" i="4"/>
  <c r="J36" i="4"/>
  <c r="I36" i="4"/>
  <c r="P36" i="4" s="1"/>
  <c r="Q36" i="4" s="1"/>
  <c r="N36" i="4" s="1"/>
  <c r="G36" i="4"/>
  <c r="F36" i="4"/>
  <c r="J35" i="4"/>
  <c r="I35" i="4"/>
  <c r="P35" i="4" s="1"/>
  <c r="Q35" i="4" s="1"/>
  <c r="N35" i="4" s="1"/>
  <c r="G35" i="4"/>
  <c r="F35" i="4"/>
  <c r="J34" i="4"/>
  <c r="P34" i="4"/>
  <c r="Q34" i="4" s="1"/>
  <c r="N34" i="4" s="1"/>
  <c r="G34" i="4"/>
  <c r="F34" i="4"/>
  <c r="D34" i="4"/>
  <c r="B34" i="4"/>
  <c r="J33" i="4"/>
  <c r="I33" i="4"/>
  <c r="P33" i="4" s="1"/>
  <c r="Q33" i="4" s="1"/>
  <c r="N33" i="4" s="1"/>
  <c r="G33" i="4"/>
  <c r="F33" i="4"/>
  <c r="J32" i="4"/>
  <c r="I32" i="4"/>
  <c r="P32" i="4" s="1"/>
  <c r="Q32" i="4" s="1"/>
  <c r="N32" i="4" s="1"/>
  <c r="G32" i="4"/>
  <c r="F32" i="4"/>
  <c r="J31" i="4"/>
  <c r="P31" i="4"/>
  <c r="Q31" i="4" s="1"/>
  <c r="N31" i="4" s="1"/>
  <c r="G31" i="4"/>
  <c r="F31" i="4"/>
  <c r="D31" i="4"/>
  <c r="B31" i="4"/>
  <c r="J30" i="4"/>
  <c r="I30" i="4"/>
  <c r="P30" i="4" s="1"/>
  <c r="Q30" i="4" s="1"/>
  <c r="N30" i="4" s="1"/>
  <c r="G30" i="4"/>
  <c r="F30" i="4"/>
  <c r="J29" i="4"/>
  <c r="I29" i="4"/>
  <c r="P29" i="4" s="1"/>
  <c r="Q29" i="4" s="1"/>
  <c r="N29" i="4" s="1"/>
  <c r="G29" i="4"/>
  <c r="F29" i="4"/>
  <c r="J28" i="4"/>
  <c r="P28" i="4"/>
  <c r="Q28" i="4" s="1"/>
  <c r="N28" i="4" s="1"/>
  <c r="G28" i="4"/>
  <c r="F28" i="4"/>
  <c r="D28" i="4"/>
  <c r="B28" i="4"/>
  <c r="J27" i="4"/>
  <c r="I27" i="4"/>
  <c r="P27" i="4" s="1"/>
  <c r="Q27" i="4" s="1"/>
  <c r="N27" i="4" s="1"/>
  <c r="G27" i="4"/>
  <c r="F27" i="4"/>
  <c r="J26" i="4"/>
  <c r="I26" i="4"/>
  <c r="P26" i="4" s="1"/>
  <c r="G26" i="4"/>
  <c r="F26" i="4"/>
  <c r="J25" i="4"/>
  <c r="P25" i="4"/>
  <c r="Q25" i="4" s="1"/>
  <c r="N25" i="4" s="1"/>
  <c r="G25" i="4"/>
  <c r="F25" i="4"/>
  <c r="D25" i="4"/>
  <c r="C25" i="4"/>
  <c r="B25" i="4"/>
  <c r="Q42" i="4" l="1"/>
  <c r="N42" i="4" s="1"/>
  <c r="M43" i="4"/>
  <c r="M27" i="4"/>
  <c r="M33" i="4"/>
  <c r="M30" i="4"/>
  <c r="M36" i="4"/>
  <c r="M41" i="4"/>
  <c r="M35" i="4"/>
  <c r="M32" i="4"/>
  <c r="M31" i="4"/>
  <c r="M29" i="4"/>
  <c r="M28" i="4"/>
  <c r="M25" i="4"/>
  <c r="M34" i="4"/>
  <c r="Q26" i="4"/>
  <c r="N26" i="4" s="1"/>
  <c r="I24" i="4"/>
  <c r="P24" i="4" s="1"/>
  <c r="Q24" i="4" s="1"/>
  <c r="N24" i="4" s="1"/>
  <c r="J24" i="4"/>
  <c r="J23" i="4"/>
  <c r="P23" i="4"/>
  <c r="J22" i="4"/>
  <c r="P22" i="4"/>
  <c r="G24" i="4"/>
  <c r="G23" i="4"/>
  <c r="G22" i="4"/>
  <c r="F24" i="4"/>
  <c r="F23" i="4"/>
  <c r="F22" i="4"/>
  <c r="D22" i="4"/>
  <c r="C22" i="4"/>
  <c r="B22" i="4"/>
  <c r="P44" i="4" l="1"/>
  <c r="T42" i="4" s="1"/>
  <c r="M42" i="4"/>
  <c r="Q22" i="4"/>
  <c r="N22" i="4" s="1"/>
  <c r="M24" i="4"/>
  <c r="M26" i="4"/>
  <c r="Q23" i="4"/>
  <c r="N23" i="4" s="1"/>
  <c r="F67" i="1"/>
  <c r="F66" i="1"/>
  <c r="F63" i="1"/>
  <c r="F62" i="1"/>
  <c r="F59" i="1"/>
  <c r="F58" i="1"/>
  <c r="F55" i="1"/>
  <c r="F54" i="1"/>
  <c r="F51" i="1"/>
  <c r="F50" i="1"/>
  <c r="F47" i="1"/>
  <c r="F46" i="1"/>
  <c r="F43" i="1"/>
  <c r="C67" i="1"/>
  <c r="C66" i="1"/>
  <c r="C65" i="1"/>
  <c r="C64" i="1"/>
  <c r="C63" i="1"/>
  <c r="C62" i="1"/>
  <c r="C61" i="1"/>
  <c r="C60" i="1"/>
  <c r="C59" i="1"/>
  <c r="C58" i="1"/>
  <c r="C57" i="1"/>
  <c r="C56" i="1"/>
  <c r="C55" i="1"/>
  <c r="C54" i="1"/>
  <c r="C53" i="1"/>
  <c r="C52" i="1"/>
  <c r="C51" i="1"/>
  <c r="C50" i="1"/>
  <c r="C49" i="1"/>
  <c r="C48" i="1"/>
  <c r="C47" i="1"/>
  <c r="C46" i="1"/>
  <c r="C45" i="1"/>
  <c r="C44" i="1"/>
  <c r="C43" i="1"/>
  <c r="C42" i="1"/>
  <c r="Q44" i="4" l="1"/>
  <c r="R42" i="4" s="1"/>
  <c r="M22" i="4"/>
  <c r="M23" i="4"/>
  <c r="C28" i="4" l="1"/>
  <c r="I11" i="1"/>
  <c r="I10" i="1"/>
  <c r="I9" i="1"/>
  <c r="I8" i="1"/>
  <c r="D12" i="1"/>
  <c r="D11" i="1"/>
  <c r="D10" i="1"/>
  <c r="D9" i="1"/>
  <c r="D8" i="1"/>
  <c r="H6" i="1"/>
  <c r="K7" i="13" s="1"/>
  <c r="D15" i="5" s="1"/>
  <c r="D15" i="14" s="1"/>
  <c r="B3" i="1"/>
  <c r="L46" i="7"/>
  <c r="F17" i="7"/>
  <c r="N25" i="7" s="1"/>
  <c r="D17" i="7"/>
  <c r="D25" i="7" s="1"/>
  <c r="N15" i="7"/>
  <c r="P5" i="7"/>
  <c r="C45" i="10" s="1"/>
  <c r="K2" i="7"/>
  <c r="I12" i="1" l="1"/>
  <c r="E21" i="14"/>
  <c r="E13" i="13"/>
  <c r="B99" i="1"/>
  <c r="E18" i="14"/>
  <c r="B52" i="14" s="1"/>
  <c r="E10" i="13"/>
  <c r="E20" i="14"/>
  <c r="E12" i="13"/>
  <c r="E17" i="14"/>
  <c r="B51" i="14" s="1"/>
  <c r="E9" i="13"/>
  <c r="L13" i="13"/>
  <c r="L13" i="4"/>
  <c r="B3" i="4"/>
  <c r="B3" i="13"/>
  <c r="E19" i="14"/>
  <c r="E11" i="13"/>
  <c r="K7" i="4"/>
  <c r="E35" i="10"/>
  <c r="E12" i="4"/>
  <c r="E32" i="10"/>
  <c r="E9" i="4"/>
  <c r="E36" i="10"/>
  <c r="E13" i="4"/>
  <c r="E34" i="10"/>
  <c r="E11" i="4"/>
  <c r="H99" i="1"/>
  <c r="C31" i="4"/>
  <c r="E33" i="10"/>
  <c r="E10" i="4"/>
  <c r="L25" i="7"/>
  <c r="F25" i="7"/>
  <c r="C44" i="10" s="1"/>
  <c r="E33" i="14" l="1"/>
  <c r="B6" i="1"/>
  <c r="B14" i="5" s="1"/>
  <c r="E33" i="5"/>
  <c r="E27" i="5"/>
  <c r="E27" i="14"/>
  <c r="C34" i="4"/>
  <c r="E35" i="5"/>
  <c r="E48" i="5"/>
  <c r="E47" i="5"/>
  <c r="E21" i="5"/>
  <c r="E20" i="5"/>
  <c r="E19" i="5"/>
  <c r="E18" i="5"/>
  <c r="B48" i="5" s="1"/>
  <c r="E17" i="5"/>
  <c r="B47" i="5" s="1"/>
  <c r="D14" i="5"/>
  <c r="B14" i="14" l="1"/>
  <c r="B7" i="13"/>
  <c r="B7" i="4"/>
  <c r="D21" i="6"/>
  <c r="D20" i="6"/>
  <c r="D19" i="6"/>
  <c r="D18" i="6"/>
  <c r="D17" i="6"/>
  <c r="D16" i="6"/>
  <c r="D15" i="6"/>
  <c r="D14" i="6"/>
  <c r="D13" i="6"/>
  <c r="D12" i="6"/>
  <c r="D11" i="6"/>
  <c r="D10" i="6"/>
  <c r="D9" i="6"/>
  <c r="D8" i="6"/>
  <c r="D7" i="6"/>
  <c r="D6" i="6"/>
  <c r="D5" i="6"/>
  <c r="D4" i="6"/>
  <c r="E26" i="6"/>
  <c r="D26" i="6"/>
  <c r="C26" i="6"/>
  <c r="E25" i="6"/>
  <c r="D25" i="6"/>
  <c r="C25" i="6"/>
  <c r="E24" i="6"/>
  <c r="D24" i="6"/>
  <c r="C24" i="6"/>
  <c r="J87" i="4"/>
  <c r="C25" i="10"/>
  <c r="O9" i="3"/>
  <c r="L9" i="3"/>
  <c r="I9" i="3"/>
  <c r="F9" i="3"/>
  <c r="C9" i="3"/>
  <c r="H98" i="1"/>
  <c r="B98" i="1"/>
  <c r="B78" i="13" l="1"/>
  <c r="B78" i="4"/>
  <c r="E36" i="5" l="1"/>
  <c r="E36" i="14"/>
</calcChain>
</file>

<file path=xl/comments1.xml><?xml version="1.0" encoding="utf-8"?>
<comments xmlns="http://schemas.openxmlformats.org/spreadsheetml/2006/main">
  <authors>
    <author>HP</author>
  </authors>
  <commentList>
    <comment ref="R75" authorId="0">
      <text>
        <r>
          <rPr>
            <b/>
            <sz val="9"/>
            <color indexed="81"/>
            <rFont val="Tahoma"/>
            <family val="2"/>
          </rPr>
          <t>Note:</t>
        </r>
        <r>
          <rPr>
            <sz val="9"/>
            <color indexed="81"/>
            <rFont val="Tahoma"/>
            <family val="2"/>
          </rPr>
          <t xml:space="preserve">
Jumlah Persepsi yang Positif berdasarkan Jumlah total Indikator Perilaku Kerja</t>
        </r>
      </text>
    </comment>
    <comment ref="S75" authorId="0">
      <text>
        <r>
          <rPr>
            <b/>
            <sz val="9"/>
            <color indexed="81"/>
            <rFont val="Tahoma"/>
            <family val="2"/>
          </rPr>
          <t>Note:</t>
        </r>
        <r>
          <rPr>
            <sz val="9"/>
            <color indexed="81"/>
            <rFont val="Tahoma"/>
            <family val="2"/>
          </rPr>
          <t xml:space="preserve">
Jumlah Umpan Balik Persepsi Positif Berdasarkan Jumlah Total Semua Umpan Balik</t>
        </r>
      </text>
    </comment>
  </commentList>
</comments>
</file>

<file path=xl/sharedStrings.xml><?xml version="1.0" encoding="utf-8"?>
<sst xmlns="http://schemas.openxmlformats.org/spreadsheetml/2006/main" count="1472" uniqueCount="483">
  <si>
    <t>SASARAN KINERJA PEGAWAI</t>
  </si>
  <si>
    <t>PENDEKATAN HASIL KERJA KUANTITATIF</t>
  </si>
  <si>
    <t>NO</t>
  </si>
  <si>
    <t>PEGAWAI YANG DINILAI</t>
  </si>
  <si>
    <t>PEJABAT PENILAI KINERJA</t>
  </si>
  <si>
    <t>NAMA</t>
  </si>
  <si>
    <t>NIP</t>
  </si>
  <si>
    <t>PANGKAT/GOL. RUANG</t>
  </si>
  <si>
    <t>JABATAN</t>
  </si>
  <si>
    <t>UNIT KERJA</t>
  </si>
  <si>
    <t>HASIL KERJA</t>
  </si>
  <si>
    <t>NO.</t>
  </si>
  <si>
    <t>RENCANA HASIL KERJA ATASAN YANG DIINTERVENSI</t>
  </si>
  <si>
    <t>RENCANA HASIL KERJA</t>
  </si>
  <si>
    <t>ASPEK</t>
  </si>
  <si>
    <t>INDIKATOR KINERJA INDIVIDU</t>
  </si>
  <si>
    <t>TARGET</t>
  </si>
  <si>
    <t>(1)</t>
  </si>
  <si>
    <t>(2)</t>
  </si>
  <si>
    <t>(3)</t>
  </si>
  <si>
    <t>(4)</t>
  </si>
  <si>
    <t>(5)</t>
  </si>
  <si>
    <t>(6)</t>
  </si>
  <si>
    <t>A. UTAMA</t>
  </si>
  <si>
    <t>B. TAMBAHAN</t>
  </si>
  <si>
    <t>PERILAKU KERJA</t>
  </si>
  <si>
    <t>- Memahami dan memenuhi kebutuhan masyarakat</t>
  </si>
  <si>
    <t>Ekspektasi Khusus Pimpinan:</t>
  </si>
  <si>
    <t>- Ramah, cekatan, solutif, dan dapat diandalkan</t>
  </si>
  <si>
    <t>- Melakukan perbaikan tiada henti</t>
  </si>
  <si>
    <t>Akuntabel</t>
  </si>
  <si>
    <t>- Melaksanakan tugas dengan jujur, bertanggungjawab, cermat, disiplin dan berintegritas tinggi</t>
  </si>
  <si>
    <t>- Menggunakan kekayaan dan barang milik negara secara bertanggungjawab, efektif, dan efisien</t>
  </si>
  <si>
    <t>- Tidak menyalahgunakan kewenangan jabatan</t>
  </si>
  <si>
    <t>Kompeten</t>
  </si>
  <si>
    <t>- Meningkatkan kompetensi diri untuk menjawab tantangan yang selalu berubah</t>
  </si>
  <si>
    <t>- Membantu orang lain belajar</t>
  </si>
  <si>
    <t>- Melaksanakan tugas dengan kualitas terbaik</t>
  </si>
  <si>
    <t>- Menghargai setiap orang apapun latar belakangnya</t>
  </si>
  <si>
    <t>- Suka menolong orang lain</t>
  </si>
  <si>
    <t>- Membangun lingkungan kerja yang kondusif</t>
  </si>
  <si>
    <t>Loyal</t>
  </si>
  <si>
    <t>- Menjaga nama baik sesama ASN, Pimpinan, Instansi, dan Negara</t>
  </si>
  <si>
    <t>- Menjaga rahasia jabatan dan negara</t>
  </si>
  <si>
    <t>Adaptif</t>
  </si>
  <si>
    <t>- Cepat menyesuaikan diri menghadapi perubahan</t>
  </si>
  <si>
    <t>- Terus berinovasi dan mengembangkan kreativitas</t>
  </si>
  <si>
    <t>- Bertindak proaktif</t>
  </si>
  <si>
    <t>Kolaboratif</t>
  </si>
  <si>
    <t>- Memberi kesempatan kepada berbagai pihak untuk berkontribusi</t>
  </si>
  <si>
    <t>- Terbuka dalam bekerja sama untuk menghasilkan nilai tambah</t>
  </si>
  <si>
    <t>- Menggerakkan pemanfaatan berbagai sumberdaya untuk tujuan bersama</t>
  </si>
  <si>
    <t>Pegawai Yang Dinilai</t>
  </si>
  <si>
    <t>Pejabat Penilai Kinerja</t>
  </si>
  <si>
    <t>PERIODE PENILAIAN:</t>
  </si>
  <si>
    <t>DUKUNGAN SUMBER DAYA</t>
  </si>
  <si>
    <t>SKEMA PERTANGGUNGJAWABAN</t>
  </si>
  <si>
    <t>KONSEKUENSI</t>
  </si>
  <si>
    <t>Baik</t>
  </si>
  <si>
    <t>Butuh Perbaikan</t>
  </si>
  <si>
    <r>
      <t>Kurang/</t>
    </r>
    <r>
      <rPr>
        <i/>
        <sz val="11"/>
        <color theme="1"/>
        <rFont val="Calibri"/>
        <family val="2"/>
        <scheme val="minor"/>
      </rPr>
      <t>Misconduct</t>
    </r>
  </si>
  <si>
    <t>Sangat Kurang</t>
  </si>
  <si>
    <t>Kategori</t>
  </si>
  <si>
    <t>Pola Distribusi</t>
  </si>
  <si>
    <t>Sangat Baik</t>
  </si>
  <si>
    <t>Jumlah</t>
  </si>
  <si>
    <t>PERIODE: TRIWULAN I/II/III/IV-AKHIR*</t>
  </si>
  <si>
    <t>CAPAIAN KINERJA ORGANISASI*</t>
  </si>
  <si>
    <t>POLA DISTRIBUSI:</t>
  </si>
  <si>
    <t>RENCANA HASIL KERJA PIMPINAN YANG DIINTERVENSI</t>
  </si>
  <si>
    <t>REALISASI BERDASARKAN BUKTI DUKUNG</t>
  </si>
  <si>
    <t>UMPAN BALIK BERKELANJUTAN BERDASARKAN BUKTI DUKUNG</t>
  </si>
  <si>
    <t>(7)</t>
  </si>
  <si>
    <t>RATING PERILAKU KERJA*</t>
  </si>
  <si>
    <t>PREDIKAT KINERJA PEGAWAI*</t>
  </si>
  <si>
    <t>DOKUMEN EVALUASI KINERJA PEGAWAI</t>
  </si>
  <si>
    <t>1.</t>
  </si>
  <si>
    <t>:</t>
  </si>
  <si>
    <t>2.</t>
  </si>
  <si>
    <t>3.</t>
  </si>
  <si>
    <t>ATASAN PEJABAT PENILAI KINERJA</t>
  </si>
  <si>
    <t>4.</t>
  </si>
  <si>
    <t>EVALUASI KINERJA</t>
  </si>
  <si>
    <t>CAPAIAN KINERJA ORGANISASI</t>
  </si>
  <si>
    <t>PREDIKAT KINERJA PEGAWAI</t>
  </si>
  <si>
    <t>5.</t>
  </si>
  <si>
    <t>CATATAN/REKOMENDASI</t>
  </si>
  <si>
    <t>7. Pegawai yang Dinilai</t>
  </si>
  <si>
    <t>6. Pejabat Penilai Kinerja</t>
  </si>
  <si>
    <t>RATING HASIL KERJA*</t>
  </si>
  <si>
    <t>Di Atas Ekspektasi</t>
  </si>
  <si>
    <t>Sesuai Ekspektasi</t>
  </si>
  <si>
    <t>Di Bawah Ekspektasi</t>
  </si>
  <si>
    <t>Hasil Kerja</t>
  </si>
  <si>
    <t>Perilaku Kerja</t>
  </si>
  <si>
    <t>Hasil</t>
  </si>
  <si>
    <t>SANGAT BAIK</t>
  </si>
  <si>
    <t>BAIK</t>
  </si>
  <si>
    <t>BUTUH PERBAIKAN</t>
  </si>
  <si>
    <t>SANGAT KURANG</t>
  </si>
  <si>
    <t>KURANG/MISS CONDUCT</t>
  </si>
  <si>
    <t>EVALUASI KINERJA PEGAWAI</t>
  </si>
  <si>
    <t>-</t>
  </si>
  <si>
    <t>Kualitas</t>
  </si>
  <si>
    <t>Waktu</t>
  </si>
  <si>
    <t>Kuantitas</t>
  </si>
  <si>
    <t>KURVA DISTRIBUSI PREDIKAT KINERA PEGAWAI DENGAN CAPAIAN KINERJA ORGANISASI BAIK</t>
  </si>
  <si>
    <r>
      <t xml:space="preserve">Kurang/ </t>
    </r>
    <r>
      <rPr>
        <i/>
        <sz val="11"/>
        <color theme="1"/>
        <rFont val="Calibri"/>
        <family val="2"/>
        <scheme val="minor"/>
      </rPr>
      <t>Misconduct</t>
    </r>
  </si>
  <si>
    <t>COVER</t>
  </si>
  <si>
    <t>DATA PEGAWAI, PEJABAT PENILAI DAN ATASAN PEJABAT PENILAI</t>
  </si>
  <si>
    <t>NILAI KINERJA</t>
  </si>
  <si>
    <t>TGL. PNGISIAN USLN SKP</t>
  </si>
  <si>
    <t>TAHUN</t>
  </si>
  <si>
    <t>a.</t>
  </si>
  <si>
    <t>Nama</t>
  </si>
  <si>
    <t>PENGISIAN TEMPAT DAN TANGGAL PENILAIAN :</t>
  </si>
  <si>
    <t>b.</t>
  </si>
  <si>
    <t>Jangka waktu penilaian</t>
  </si>
  <si>
    <t>01 JANUARI 2022</t>
  </si>
  <si>
    <t>c.</t>
  </si>
  <si>
    <t>Pangkat / Golongan ruang</t>
  </si>
  <si>
    <t>Sampai dengan</t>
  </si>
  <si>
    <t>31 DESEMBER 2022</t>
  </si>
  <si>
    <t>d.</t>
  </si>
  <si>
    <t>Jabatan/Pekerjaan</t>
  </si>
  <si>
    <t>PENGAWAS SEKOLAH AHLI MADYA</t>
  </si>
  <si>
    <t>Tempat</t>
  </si>
  <si>
    <t>e.</t>
  </si>
  <si>
    <t>Unit Organisasi</t>
  </si>
  <si>
    <t>Pejabat Penilai</t>
  </si>
  <si>
    <t>PNS yang dinilai</t>
  </si>
  <si>
    <t xml:space="preserve">PEJABAT PENILAI </t>
  </si>
  <si>
    <t>Atasan Pejabat Penilai</t>
  </si>
  <si>
    <t>Ketua Tim Penilai (Korwil)</t>
  </si>
  <si>
    <t>NIP.</t>
  </si>
  <si>
    <t>Wilayah</t>
  </si>
  <si>
    <t>Tanggal Penilaian</t>
  </si>
  <si>
    <t>30 Juni 2022</t>
  </si>
  <si>
    <t>Tahun Penilaian</t>
  </si>
  <si>
    <t>2022</t>
  </si>
  <si>
    <t xml:space="preserve">ATASAN PEJABAT PENILAI </t>
  </si>
  <si>
    <t>PEJABAT PENILAI KINERJA (BILA ADA PERGANTIAN PEJABAT)</t>
  </si>
  <si>
    <t>KEPALA DINAS</t>
  </si>
  <si>
    <t>PENGAWAS</t>
  </si>
  <si>
    <t>Jumlah Dokumen Program</t>
  </si>
  <si>
    <t>A.</t>
  </si>
  <si>
    <t>UTAMA</t>
  </si>
  <si>
    <t>KODE</t>
  </si>
  <si>
    <t>Berorientasi Pelayanan</t>
  </si>
  <si>
    <t>KOMPONEN DAN INDIKATOR</t>
  </si>
  <si>
    <t xml:space="preserve">Harmonis </t>
  </si>
  <si>
    <t>- Membangun komunikasi yang lebih terbuka dan menjaga hubungan baik dengan stakeholder</t>
  </si>
  <si>
    <t>- Mengimplementasikan perkembangan teknologi untuk memperbaiki metode dan proses kerja.</t>
  </si>
  <si>
    <t>- Memegang teguh ideologi Pancasila, UUD Negara Republik Indonesia Tahun 1945, setia kepada NKRI serta pemerintahan yang sah.</t>
  </si>
  <si>
    <t>6.</t>
  </si>
  <si>
    <t>7.</t>
  </si>
  <si>
    <t>1.1</t>
  </si>
  <si>
    <t>1.2</t>
  </si>
  <si>
    <t>1.3</t>
  </si>
  <si>
    <t>2.1</t>
  </si>
  <si>
    <t>2.2</t>
  </si>
  <si>
    <t>2.3</t>
  </si>
  <si>
    <t>3.1</t>
  </si>
  <si>
    <t>3.2</t>
  </si>
  <si>
    <t>3.3</t>
  </si>
  <si>
    <t>4.1</t>
  </si>
  <si>
    <t>4.2</t>
  </si>
  <si>
    <t>4.3</t>
  </si>
  <si>
    <t>5.1</t>
  </si>
  <si>
    <t>5.2</t>
  </si>
  <si>
    <t>5.3</t>
  </si>
  <si>
    <t>6.1</t>
  </si>
  <si>
    <t>6.2</t>
  </si>
  <si>
    <t>6.3</t>
  </si>
  <si>
    <t>7.1</t>
  </si>
  <si>
    <t>7.2</t>
  </si>
  <si>
    <t>7.3</t>
  </si>
  <si>
    <t>1.1.1</t>
  </si>
  <si>
    <t>- Kurang memahami dan atau memenuhi kebutuhan masyarakat</t>
  </si>
  <si>
    <t>- Kurang ramah, tidak sigap, pasif, dan kurang dapat diandalkan</t>
  </si>
  <si>
    <t>- Melakukan perbaikan sesekali dan atau tidak melakukan perbaikan</t>
  </si>
  <si>
    <t>1.2.1</t>
  </si>
  <si>
    <t>1.3.1</t>
  </si>
  <si>
    <t>- Melaksanakan tugas kurang jujur, kurang bertanggungjawab, ceroboh, kurang disiplin dan berintegritas rendah</t>
  </si>
  <si>
    <t>2.1.1</t>
  </si>
  <si>
    <t>2.2.1</t>
  </si>
  <si>
    <t>2.3.1</t>
  </si>
  <si>
    <t>- Menyalahgunakan kewenangan jabatan</t>
  </si>
  <si>
    <t>- Kurang meningkatkan kompetensi diri untuk menjawab tantangan yang selalu berubah</t>
  </si>
  <si>
    <t>- Tidak membantu orang lain belajar</t>
  </si>
  <si>
    <t>- Melaksanakan tugas dengan kualitas apa adanya</t>
  </si>
  <si>
    <t>3.1.1</t>
  </si>
  <si>
    <t>3.2.1</t>
  </si>
  <si>
    <t>3.3.1</t>
  </si>
  <si>
    <t>- Kurang menghargai setiap orang apapun latar belakangnya</t>
  </si>
  <si>
    <t>- Kurang atau tidak suka menolong orang lain</t>
  </si>
  <si>
    <t>- Kurang atau tidak membangun lingkungan kerja yang kondusif</t>
  </si>
  <si>
    <t>4.1.1</t>
  </si>
  <si>
    <t>4.2.1</t>
  </si>
  <si>
    <t>4.3.1</t>
  </si>
  <si>
    <t>- Kurang atau tidak memegang teguh ideologi Pancasila, UUD Negara Republik Indonesia Tahun 1945, setia kepada NKRI serta pemerintahan yang sah.</t>
  </si>
  <si>
    <t>- Kurang atau tidak menjaga nama baik sesama ASN, Pimpinan, Instansi, dan Negara</t>
  </si>
  <si>
    <t>- Kurang atau tidak menjaga rahasia jabatan dan negara</t>
  </si>
  <si>
    <t>- Lambat atau tidak menyesuaikan diri menghadapi perubahan</t>
  </si>
  <si>
    <t>- Kurang atau tidak berinovasi dan mengembangkan kreativitas</t>
  </si>
  <si>
    <t>- Bertindak Kurang atau tidak proaktif</t>
  </si>
  <si>
    <t>- Kurang atau tidak memberi kesempatan kepada berbagai pihak untuk berkontribusi</t>
  </si>
  <si>
    <t>- Kurang atau tidak terbuka dalam bekerja sama untuk menghasilkan nilai tambah</t>
  </si>
  <si>
    <t>- Kurang atau tidak menggerakkan pemanfaatan berbagai sumberdaya untuk tujuan bersama</t>
  </si>
  <si>
    <t>5.1.1</t>
  </si>
  <si>
    <t>5.2.1</t>
  </si>
  <si>
    <t>5.3.1</t>
  </si>
  <si>
    <t>6.1.1</t>
  </si>
  <si>
    <t>6.2.1</t>
  </si>
  <si>
    <t>6.3.1</t>
  </si>
  <si>
    <t>7.1.1</t>
  </si>
  <si>
    <t>7.2.1</t>
  </si>
  <si>
    <t>7.3.1</t>
  </si>
  <si>
    <t>- Menggunakan kekayaan dan barang milik negara kurang bertanggungjawab, tidak efektif dan tidak efisien</t>
  </si>
  <si>
    <t>KD PRLKU</t>
  </si>
  <si>
    <t>EXPTASI</t>
  </si>
  <si>
    <t>PENILAIAN PERILAKU KERJA</t>
  </si>
  <si>
    <t>B.</t>
  </si>
  <si>
    <t>TAMBAHAN</t>
  </si>
  <si>
    <t>EKSPETASI KHUSUS PIMPINAN</t>
  </si>
  <si>
    <t>- Aktif berpartisipasi sesuai keahliannya pada project unit kerja</t>
  </si>
  <si>
    <t>- Kurang aktif berpartisipasi sesuai keahliannya pada proyek unit kerja</t>
  </si>
  <si>
    <t>- Kurang aktif berkontribusi sesuai keahliannya pada proyek unit kerja</t>
  </si>
  <si>
    <t>- Aktif berkontribusi sesuai keahliannya pada project unit kerja</t>
  </si>
  <si>
    <t>- Tidak mengimplementasikan perkembangan teknologi untuk memperbaiki metode dan proses kerja.</t>
  </si>
  <si>
    <t>- Kurang atau tidak membangun komunikasi yang lebih terbuka dan menjaga hubungan baik dengan stakeholder</t>
  </si>
  <si>
    <t>Hasil kerja dilaporkan setiap hari/ mingguan/ bulanan/tahun* berikut data yang dilaporkan adalah …</t>
  </si>
  <si>
    <t>Apabila memenuhi ekspektasi Pimpinan maka …</t>
  </si>
  <si>
    <t>Apabila tidak memenuhi ekspektasi Pimpinan maka …</t>
  </si>
  <si>
    <t>Bulan</t>
  </si>
  <si>
    <t>C</t>
  </si>
  <si>
    <t>PANGKAT/GOL.RUANG</t>
  </si>
  <si>
    <t>INSTANSI</t>
  </si>
  <si>
    <t>L</t>
  </si>
  <si>
    <t>J</t>
  </si>
  <si>
    <t>K</t>
  </si>
  <si>
    <t>Cukup</t>
  </si>
  <si>
    <t>Kurang</t>
  </si>
  <si>
    <t>PRLKU</t>
  </si>
  <si>
    <t>EXPTSI</t>
  </si>
  <si>
    <t>- Taat terhadap atasan sesuai dengan Struktur Jabatan pada Instansi pegawai berada</t>
  </si>
  <si>
    <t>Hasil Kerja dan Perilaku Kerja</t>
  </si>
  <si>
    <t xml:space="preserve">PERILAKU KERJA </t>
  </si>
  <si>
    <t>DATA</t>
  </si>
  <si>
    <t>PENILAIAN KINERJA</t>
  </si>
  <si>
    <t>JANGKA WAKTU PENILAIAN</t>
  </si>
  <si>
    <t>PANGKAT /GOL</t>
  </si>
  <si>
    <t>SESUAI PERMENEGPAN RB. 06 TAHUN 2022</t>
  </si>
  <si>
    <t>created by gembong sumadiyono_08127268372</t>
  </si>
  <si>
    <t xml:space="preserve">SKP JF-KUANTITATIF 2022 </t>
  </si>
  <si>
    <t>HOME</t>
  </si>
  <si>
    <t>PEGAWAI APARATUR SIPIL NEGARA</t>
  </si>
  <si>
    <t>SK. Pembagian Tugas Kepengawasan Tahun Anggaran 2022; Peralatan Kerja untuk Kegiatan Pengawasan, Pembimbingan dan Pelatihan (ATK).</t>
  </si>
  <si>
    <t>Koordinasi dan dukungan dari Sekolah Binaan dan Cabang Dinas dalam pelaksanaan kegiatan Kepengawasan dan Bimlat Guru dan atau Kepala Sekolah di Sekolah Binaan.</t>
  </si>
  <si>
    <t>Penghargaan dalam bentuk reward atau promosi sesuai dengan kewenangan pimpinan dan sesuai dengan aturan yang ada pada lembaga.</t>
  </si>
  <si>
    <t>Program Pengawasan dan Program Bimlat Guru / Kepala Sekolah.</t>
  </si>
  <si>
    <t>Dokumen</t>
  </si>
  <si>
    <t>Laporan</t>
  </si>
  <si>
    <t>(8)</t>
  </si>
  <si>
    <t>SESUAI EKSPEKTASI</t>
  </si>
  <si>
    <t>A</t>
  </si>
  <si>
    <t>MATRIKS PEMBAGIAN PERAN DAN HASIL</t>
  </si>
  <si>
    <t>PEGAWAI</t>
  </si>
  <si>
    <t>NAMA  JABATAN</t>
  </si>
  <si>
    <t>NAMA PEGAWAI</t>
  </si>
  <si>
    <t>OUTCOME ANTARA/OUTPUT/LAYANAN</t>
  </si>
  <si>
    <t>KONDISI IDEAL</t>
  </si>
  <si>
    <t>DATA SKP DAN PPKPNS - (PERMENPANRB-NO. 06 TAHUN 2022)</t>
  </si>
  <si>
    <t>91-100</t>
  </si>
  <si>
    <t>76-90</t>
  </si>
  <si>
    <t>Chek</t>
  </si>
  <si>
    <t>61-75</t>
  </si>
  <si>
    <t>51-60</t>
  </si>
  <si>
    <t>03 Januari 2022</t>
  </si>
  <si>
    <t>31 Desember 2022</t>
  </si>
  <si>
    <r>
      <t>KURANG/</t>
    </r>
    <r>
      <rPr>
        <b/>
        <i/>
        <sz val="8"/>
        <color theme="1"/>
        <rFont val="Arial Narrow"/>
        <family val="2"/>
      </rPr>
      <t>MISS CONDUCT</t>
    </r>
  </si>
  <si>
    <t>- Kurang taat terhadap atasan sesuai dengan Struktur Jabatan pada Instansi pegawai berada</t>
  </si>
  <si>
    <t>ISTIMEWA</t>
  </si>
  <si>
    <t>MISCONDUCT / KURANG</t>
  </si>
  <si>
    <r>
      <t xml:space="preserve">PERIODE: </t>
    </r>
    <r>
      <rPr>
        <strike/>
        <sz val="12"/>
        <color theme="1"/>
        <rFont val="Calibri"/>
        <family val="2"/>
        <scheme val="minor"/>
      </rPr>
      <t>TRIWULAN I/II/III/IV</t>
    </r>
    <r>
      <rPr>
        <sz val="12"/>
        <color theme="1"/>
        <rFont val="Calibri"/>
        <family val="2"/>
        <scheme val="minor"/>
      </rPr>
      <t>/TAHUNAN*</t>
    </r>
  </si>
  <si>
    <t>Pimpinan : Yang bersangkutan selalu merespon dengan cepat dan mengambil alternatif strategi.</t>
  </si>
  <si>
    <t>UMPAN BALIK</t>
  </si>
  <si>
    <t>Pimpinan : Yang bersangkutan dapat diandalkan ketika ada hal-hal yang membutuhkan penyelesaian segera.</t>
  </si>
  <si>
    <t>Pimpinan : Yang bersangkutan kurang dapat diandalkan ketika ada hal-hal yang membutuhkan penyelesaian segera.</t>
  </si>
  <si>
    <t>Pimpinan : Yang bersangkutan kurang atau tidak merespon dengan baik dan tidak mengambil alternatif strategi.</t>
  </si>
  <si>
    <t xml:space="preserve">Pimpinan: Kurang memperhatikan pengembangan kompetensi dan jarang memberikan feedback kepada teman atau pimpinan.
</t>
  </si>
  <si>
    <t>Pimpinan: Memperhatikan pengembangan kompetensi dan selalu memberikan feedback kepada teman dan pimpinan.</t>
  </si>
  <si>
    <t>Pimpinan: Mampu menciptakan lingkungan yang kondusif di tim kerjanya terlihat dari tidak adanya anggota tim / teman sejawat yang berkonflik.</t>
  </si>
  <si>
    <t>Pimpinan: Kurang mampu menciptakan lingkungan yang kondusif di tim kerjanya terlihat dari adanya anggota tim / teman sejawat yang berkonflik.</t>
  </si>
  <si>
    <t xml:space="preserve">Pimpinan: Arahan pimpinan selalu ditindaklanjuti dengan baik dan progresnya selalu dilaporkan dengan tepat waktu.
</t>
  </si>
  <si>
    <t xml:space="preserve">Pimpinan: Arahan pimpinan jarang ditindaklanjuti dengan baik dan progresnya jarang dilaporkan dengan tepat waktu.
</t>
  </si>
  <si>
    <t>Pimpinan: Selalu siap kapanpun pimpinan membutuhkan, yang bersangkutan siap membantu pimpinan meskipun di luar jam kerja.</t>
  </si>
  <si>
    <t>Pimpinan: Tidak siap kapanpun pimpinan membutuhkan, yang bersangkutan kurang responsif dalam membantu pimpinan meskipun di luar jam kerja.</t>
  </si>
  <si>
    <t>Pimpinan: antusias mempelajari hal baru terlihat dari upaya upaya yang bersangkutan ketika mendapat penugasan baru.</t>
  </si>
  <si>
    <t>Pimpinan: Kurang antusias mempelajari hal baru terlihat dari upaya upaya yang bersangkutan ketika mendapat penugasan baru.</t>
  </si>
  <si>
    <t>Pimpinan: Ketika ada perubahan arah strategi dari pimpinan, tidak langsung ditindaklanjuti dengan penyesuaian dan tidak resisten.</t>
  </si>
  <si>
    <t>Pimpinan: Ketika ada perubahan arah strategi dari pimpinan langsung ditindaklanjuti dengan penyesuaian dan resisten.</t>
  </si>
  <si>
    <t>PETUNJUK</t>
  </si>
  <si>
    <t>Komponen dan Indikator sesuai denga Permenegpan RB 06 Tahun 2022</t>
  </si>
  <si>
    <t>BACK</t>
  </si>
  <si>
    <t>NEXT</t>
  </si>
  <si>
    <t>8.</t>
  </si>
  <si>
    <t>KEBERATAN</t>
  </si>
  <si>
    <t>KEPUTUSAN DAN REKOMENDASI ATASAN PEJABAT PENILAI KINERJA</t>
  </si>
  <si>
    <t>9. Pejabat Penilai Kinerja</t>
  </si>
  <si>
    <t>10. Pegawai yang Dinilai</t>
  </si>
  <si>
    <t>11. Atasan Pejabat Penilai Kinerja</t>
  </si>
  <si>
    <t>PENJELASAN PEJABAT PENILAI KINERJA ATAS KEBERATAN</t>
  </si>
  <si>
    <t>Stakeholder terkait: Ramah dalam melaksanakan kegiatan pengawasan dan pembimbingan kepada kepala sekolah, guru dan tenaga kependidikan lainnya.</t>
  </si>
  <si>
    <t>Stakeholder terkait: Kurang Ramah dalam melaksanakan kegiatan pengawasan dan pembimbingan kepada kepala sekolah, guru dan tenaga kependidikan lainnya.</t>
  </si>
  <si>
    <t>- Berani berterus terang jika merasa ada kesalahan dan mengakui kesalahan yang telah dibuat.</t>
  </si>
  <si>
    <t>- Tidak berani berterus terang jika jelas ada kesalahan dan tidak mengakui kesalahan yang telah dibuat.</t>
  </si>
  <si>
    <t>- Menyelesaikan setiap pekerjaan sesuai dengan target dan standar mutu yang ditetapkan.</t>
  </si>
  <si>
    <t>- Kurang dapat menyelesaikan setiap pekerjaan sesuai dengan target dan standar mutu yang ditetapkan.</t>
  </si>
  <si>
    <t>- Kurang aktif mengikuti kegiatan pengembangan kompetensi dan sharing pengetahuan, keterampilan kepada teman sejawat atau pihak lain yang membutuhkan.</t>
  </si>
  <si>
    <t>- Aktif mengikuti kegiatan pengembangan kompetensi dan sharing pengetahuan, keterampilan kepada teman sejawat atau pihak lain yang membutuhkan.</t>
  </si>
  <si>
    <t>- Kurang atau tidak aktif membagikan informasi kepada teman sejawat atau pihak lainnya yang sifatnya memberikan pengetahuan.</t>
  </si>
  <si>
    <t>- Aktif dalam membagikan informasi kepada teman sejawat atau pihak lainnya yang sifatnya memberikan pengetahuan.</t>
  </si>
  <si>
    <t>- Kurang siap memberi bantuan dengan atau tanpa harus diminta kepada teman sejawat atau pihak yang membutuhkan.</t>
  </si>
  <si>
    <t>- Selalu siap memberi bantuan dengan atau tanpa harus diminta kepada teman sejawat atau pihak yang membutuhkan.</t>
  </si>
  <si>
    <t>Teman sejawat: Selalu menunjukkan sikap bertanggung jawab meskipun ada kesalahan yang dilakukan anggota timnya.</t>
  </si>
  <si>
    <t>Teman sejawat: Kurang menunjukkan sikap bertanggung jawab terlebih jika ada kesalahan yang dilakukan rekan timnya.</t>
  </si>
  <si>
    <t>Pimpinan: Tugas dari pimpinan hampir selalu dikerjakan dengan baik</t>
  </si>
  <si>
    <t>Pimpinan: Tugas dari pimpinan jarang dilaksanakan dengan baik.</t>
  </si>
  <si>
    <t>Teman sejawat: Kurang terbuka terhadap masukan dari teman sejawat karena ketika dialog selalu menggunakan konsepnya sendiri.</t>
  </si>
  <si>
    <t>Teman sejawat: Sangat terbuka terhadap masukan dari teman sejawat karena ketika dialog selalu 2 arah.</t>
  </si>
  <si>
    <t>Adanya teguran lisan dan atau tertulis serta memenuhi kewajiban untuk melaporkan hasil kegiatan yang belum terpenuhi sesuai target yang telah direncanakan sebelumnyam baik dalam bentuk lisan maupun dalam bentuk dokumen / laporan tertulis.</t>
  </si>
  <si>
    <t>Target Capaian Organisasi</t>
  </si>
  <si>
    <t>INTERVENSI ATASAN LANGSUNG</t>
  </si>
  <si>
    <t>RENCANA KERJA INTERVENSI ATASAN</t>
  </si>
  <si>
    <t>1.4</t>
  </si>
  <si>
    <t>1.5</t>
  </si>
  <si>
    <t>KEPALA SEKOLAH</t>
  </si>
  <si>
    <t>BEBAN KERJA, TUGAS POKOK DAN FUNGSI</t>
  </si>
  <si>
    <t>2.4</t>
  </si>
  <si>
    <t>2.5</t>
  </si>
  <si>
    <t>TUGAS TAMBAHAN</t>
  </si>
  <si>
    <t>KINERJA UTAMA</t>
  </si>
  <si>
    <t>KINERJA TAMBAHAN</t>
  </si>
  <si>
    <t>TUGAS UTAMA</t>
  </si>
  <si>
    <t>GURU</t>
  </si>
  <si>
    <t>3.4</t>
  </si>
  <si>
    <t>3.5</t>
  </si>
  <si>
    <t>3.6</t>
  </si>
  <si>
    <t>3.7</t>
  </si>
  <si>
    <t>KOMPONEN KEGIATAN DISUSUN BERDASARKAN DIALOG KERJA ORGANISASI DENGAN MELIHAT TUPOKSI MASING-MASING JABATAN</t>
  </si>
  <si>
    <t>KACABDIN</t>
  </si>
  <si>
    <t>Dilakukan melalui DIALOG KERJA disesuaikan kebutuhan organisasi …</t>
  </si>
  <si>
    <t>NAMA PEGAWAI 2</t>
  </si>
  <si>
    <t>NAMA PEJABAT PIMPINAN TINGGI / PIMPINAN UNIT KERJA MANDIRI</t>
  </si>
  <si>
    <t>Sesuai dengan Permendikbud No. 15 Tahun 2018, Lampiran I, II dan III. Beban Kerja Tugas Pokok Guru, Kepala Sekolah dan Pengawas Sekolah</t>
  </si>
  <si>
    <t>DINAS</t>
  </si>
  <si>
    <t>TENDIK</t>
  </si>
  <si>
    <t>Stakeholder terkait: Ramah dalam memberikan pelayanan kepada stakeholder (komite sekolah, dinas terkait), semua warga sekolah (guru dan tenaga kependidikan lainnya).</t>
  </si>
  <si>
    <t>Stakeholder terkait: Kurang ramah dalam memberikan pelayanan kepada stakeholder (komite sekolah, dinas terkait), semua warga sekolah (guru dan tenaga kependidikan lainnya).</t>
  </si>
  <si>
    <t>Stakeholder terkait: Ramah dalam memberikan pelayanan pembelajaran dan pembimbingan kepada siswa dan semua warga sekolah (kepala sekolah, rekan sejawat guru dan tenaga kependidikan lainnya).</t>
  </si>
  <si>
    <t>Stakeholder terkait: Kurang ramah dalam memberikan pelayanan pembelajaran dan pembimbingan kepada siswa dan semua warga sekolah (kepala sekolah, rekan sejawat guru dan tenaga kependidikan lainnya).</t>
  </si>
  <si>
    <t>Stakeholder terkait: Ramah dalam memberikan pelayanan dan gesit dalam tindakan kepada warga sekolah (Kepala sekolah, guru dan tenaga kependidikan lainnya).</t>
  </si>
  <si>
    <t>Stakeholder terkait: Kurang ramah dalam memberikan pelayanan dan kurang gesit dalam tindakan kepada semua warga sekolah (Kepala sekolah, guru dan tenaga kependidikan lainnya).</t>
  </si>
  <si>
    <t>Dilakukan DIALOG KERJA disesuaikan kebutuhan organisasi …</t>
  </si>
  <si>
    <t>DIISI BRDSARKN MATRIK PERAN HASIL / TUPOK</t>
  </si>
  <si>
    <t>INTRVENSI ATASAN</t>
  </si>
  <si>
    <t>KODE ATSN</t>
  </si>
  <si>
    <t>KODE IKU</t>
  </si>
  <si>
    <t>- Maksimal dalam pelayanan, terbuka terhadap masukan atau kritikan.</t>
  </si>
  <si>
    <t>- Kurang maksimal dalam pelayanan dan kurang menerima masukan atau kritikan.</t>
  </si>
  <si>
    <t>- Selalu belajar dari kesalahan untuk perbaikan kinerja selanjutnya.</t>
  </si>
  <si>
    <t>- Tidak belajar dari kesalahan untuk perbaikan kinerja selanjutnya.</t>
  </si>
  <si>
    <t>VERSI-3</t>
  </si>
  <si>
    <t>DAPAT DIGUNAKAN UNTUK PS-KS DAN GURU</t>
  </si>
  <si>
    <t>RESUME UMPAN BALIK PENGAWAS - KASEK DAN GURU</t>
  </si>
  <si>
    <t>4.4</t>
  </si>
  <si>
    <t>4.5</t>
  </si>
  <si>
    <t>4.6</t>
  </si>
  <si>
    <t>4.7</t>
  </si>
  <si>
    <t>5.4</t>
  </si>
  <si>
    <t>5.5</t>
  </si>
  <si>
    <t>5.6</t>
  </si>
  <si>
    <t>5.7</t>
  </si>
  <si>
    <t>D=1; CD=2, KS=4</t>
  </si>
  <si>
    <t>P=3; KS=4, GR=5</t>
  </si>
  <si>
    <t>Komponen Kinerja Dinas (1), Cabdin (2), dan Kepala Sekolah (4)</t>
  </si>
  <si>
    <t>Komponen Kinerja Pengawas (3), KS (4) dan Guru (5) (Permendikbud No.15-2018)</t>
  </si>
  <si>
    <t>Laporan Pengembangan Profesi Pengawas dalam bentuk diklat fungsional pengawas dan atau Karya Tulis Ilmiah.</t>
  </si>
  <si>
    <t>Dokumen kegiatan mengikuti Seminar dan atau Webinar di Lingkungan APSI Pusat.</t>
  </si>
  <si>
    <t>Dokumen kegiatan Tugas tambahan sebagai Anggota / Pengurus APSI Provinsi Lampung.</t>
  </si>
  <si>
    <t>Dokumen Program Kerja Sekolah dalam bidang Manajerial, Kewirausahaan, Supervisi Guru dan Tendik dalam penyelenggaraan dan atau pengelolaan Sekolah.</t>
  </si>
  <si>
    <t>Dokumen kegiatan mengikuti Seminar dan atau Webinar Pendidikan di Lingkungan daerah dan Pusat.</t>
  </si>
  <si>
    <t>Laporan Evaluasi dan ketercapaian program kerja pelaksanaan tugas pokok kepala sekolah dalam bidang Manajerial, Kewirausahaan, Supervisi Guru dan Tendik dalam penyelenggaraan dan atau pengelolaan Sekolah.</t>
  </si>
  <si>
    <t>Laporan evaluasi hasil pelaksanaan dan penilaian pembelajaran sesuai dengan Rencana yang telah ditetapkan sebelumnya sesuai dengan Program Tahunan / Program semester.</t>
  </si>
  <si>
    <t>Laporan tugas kedinasan lain yang diberikan pimpinan baik lisan maupun tertulis.</t>
  </si>
  <si>
    <t>KEGIATAN TAMBAHAN</t>
  </si>
  <si>
    <t>TIM PENILAI SKP:</t>
  </si>
  <si>
    <t>Laporan pelaksanaan tugas pokok kepala sekolah (Manajerial, Kewirausahaan, Supervisi Guru dan Tendik) dalam penyelenggaraan dan atau pengelolaan Sekolah.</t>
  </si>
  <si>
    <t>Laporan Pengembangan Keprofesian Berkelanjutan Guru dalam bentuk Diklat Fungsional Guru dan atau Karya Tulis Ilmiah</t>
  </si>
  <si>
    <t>Laporan Pengembangan Keprofesian Berkelanjutan Kepala Sekolah dalam bentuk Diklat fungsional kepala sekolah dan atau Karya Tulis Ilmiah Kepala Sekolah.</t>
  </si>
  <si>
    <t>Laporan Evaluasi dan ketercapaian program kerja pelaksanaan tugas pokok kepala sekolah (Manajerial, Kewirausahaan, Supervisi) dalam bentuk EDS dan atau Analisis Hasil Rapor Pendidikan (PBD).</t>
  </si>
  <si>
    <t>Dokumen Perangkat Pembelajaran Guru (Analisis Minggu Efektif, Prota, Promes, CP/TP/Silabus, Modul Ajar/RPP, Bahan  Ajar dan Administrasi Guru) pada tahap Perencanaan Pembelajaran.</t>
  </si>
  <si>
    <t>Laporan pelaksanaan dan penilaian pembelajaran guru sesuai dengan Rencana yang telah ditetapkan sebelumnya sesuai dengan Program Tahunan / Program semester.</t>
  </si>
  <si>
    <t>Laporan pelaksanaan kegiatan tugas tambahan yang diberikan kepala sekolah, baik dalam Administratif maupun dalam Implementasi tugas sebagai Waka / Kaperpustakaan / Wali Kelas</t>
  </si>
  <si>
    <t>Materi Pengawasan, instrumen, daftar hadir, suket kegiatan dari KS.</t>
  </si>
  <si>
    <t>Materi Instrumen Pengawasan sekolah, daftar hadir, suket dari KS.</t>
  </si>
  <si>
    <t>Sertifikat</t>
  </si>
  <si>
    <t>PENGAWAS SEKOLAH</t>
  </si>
  <si>
    <t>Dokumen Program Kerja Kepala Sekolah (Manajerial, Kewirausahaan dan Supervisi Guru-Tendik) dalam penyelenggaraan dan pengelolaan sekolah.</t>
  </si>
  <si>
    <t>Laporan pelaksanaan Program (Manajerial, Kewirausahaan dan Supervisi Guru dan Tendik) dalam penyelenggaraan dan pengelolaan Sekolah.</t>
  </si>
  <si>
    <t>Laporan evaluasi hasil pelaksanaan Manajerial, Kewirausahaan dan Supervisi Guru dan Tendik dalam penyelenggaraan dan pengelolaan Sekolah.</t>
  </si>
  <si>
    <t>Laporan Tugas tambahan sebagai Anggota / Pengurus MKKS  Provinsi Lampung.</t>
  </si>
  <si>
    <t>Laporan Pengembangan Keprofesian Berkelanjutan Kepala Sekolah dalam bentuk diklat fungsional Kepala Sekolah dan atau Karya Tulis Ilmiah</t>
  </si>
  <si>
    <t>Laporan Tugas tambahan sebagai Anggota / Pengurus PGRI  Provinsi Lampung.</t>
  </si>
  <si>
    <t>Laporan kegiatan mengikuti Seminar dan atau Webinar Pendidikan di Lingkungan daerah dan Pusat.</t>
  </si>
  <si>
    <t>Dokumen Program Perencanaan Pembelajaran dan Administrasi guru dalam pelaksanaan pembelajaran.</t>
  </si>
  <si>
    <t>Laporan Pelaksanaan dan Penilaian Pembelajaran dan Administrasi guru dalam pelaksanaan pembelajaran. (PK-Guru)</t>
  </si>
  <si>
    <t>Laporan evaluasi hasil Pelaksanaan dan Penilaian Pembelajaran dan Administrasi guru dalam pelaksanaan pembelajaran.</t>
  </si>
  <si>
    <t>Laporan kegiatan menjadi Waka Bidang Kurikulum di sekolah.</t>
  </si>
  <si>
    <t>Laporan Pengembangan Keprofesian Berkelanjutan Guru dalam bentuk diklat fungsional guru dan atau Karya Tulis Ilmiah</t>
  </si>
  <si>
    <t>Dokumen kegiatan  Tugas tambahan sebagai Anggota / Pengurus PGRI Provinsi Lampung.</t>
  </si>
  <si>
    <t>Dokumen kegiatan tugas kedinasan lain yang diberikan pimpinan baik lisan maupun tertulis.</t>
  </si>
  <si>
    <t>Dokumen pelaksanaan kegiatan peningkatan kompetensi dan pengembangan karir ASN di lingkungan Sekolah.</t>
  </si>
  <si>
    <t>Dokumen kegiatan Seminar dan atau Webinar Pendidikan pada level / Tingkat Daerah dan Pusat.</t>
  </si>
  <si>
    <t>Dokumen pelaksanaan kegiatan tugas kedinasan lain yang diberikan pimpinan baik lisan maupun tertulis.</t>
  </si>
  <si>
    <t>Sertifikat Webinar APSI Pusat sebagai peserta</t>
  </si>
  <si>
    <t>Program Pendampingan dalam penyusunan perencanaan, pelaksanaan, evaluasi kegiatan dan umpan balik dari pelaksanaan rencana kerja dan anggaran sekolah berdasarkan analisis Rapor Pendidikan sesuai kebutuhan sekolah.</t>
  </si>
  <si>
    <t>Laporan evaluasi hasil pendampingan dalam penyusunan perencanaan, pelaksanaan, evaluasi kegiatan dan umpan balik dari pelaksanaan rencana kerja dan anggaran sekolah berdasarkan analisis Rapor Pendidikan sesuai kebutuhan sekolah.</t>
  </si>
  <si>
    <t>Laporan pelaksanaan pendampingan dalam penyusunan perencanaan, pelaksanaan, evaluasi kegiatan dan umpan balik dari pelaksanaan rencana kerja dan anggaran sekolah berdasarkan analisis Rapor Pendidikan sesuai kebutuhan sekolah.</t>
  </si>
  <si>
    <t>Laporan Penilaian Kinerja Kepala Sekolah binaan.</t>
  </si>
  <si>
    <t>3.4.1</t>
  </si>
  <si>
    <t>Instrumen Evaluasi Pengawasan, dafhad, suket kegiatan dari KS.</t>
  </si>
  <si>
    <t>(Persen)</t>
  </si>
  <si>
    <t>Program Kerja Sekolah dalam bidang Manajerial, Kewirausahaan, Supervisi Guru dan Tendik dalam penyelenggaraan dan atau pengelolaan Sekolah.</t>
  </si>
  <si>
    <t>Dokumen Tugas Tambahan sebagai Pengurus APSI</t>
  </si>
  <si>
    <t>Ketepatan waktu pelaksanaan kegiatan.</t>
  </si>
  <si>
    <t>Laporan Evaluasi Hasil Program Peningkatan aksesibilitas dan kualitas sesuai peraturan yang berlaku secara efektif dan efisien.</t>
  </si>
  <si>
    <t>Dalam rangka memenuhi ekspektasi Pimpinan, diperlukan …</t>
  </si>
  <si>
    <t>LAMPIRAN</t>
  </si>
  <si>
    <t>Jumlah Laporan Pengawasan</t>
  </si>
  <si>
    <t>Jumlah Laporan Bimlat Guru dan KS.</t>
  </si>
  <si>
    <t>Jumlah Laporan Evaluasi Pengawasan</t>
  </si>
  <si>
    <t>Jumlah Laporan Pengembangan Diri</t>
  </si>
  <si>
    <t>Jumlah Satuan Kegiatan</t>
  </si>
  <si>
    <t>Jumlah Sertifikat</t>
  </si>
  <si>
    <t>Laporan PD, daftar hadir, suket kegiatan dari Korwas.</t>
  </si>
  <si>
    <t xml:space="preserve">DINAS PENDIDIKAN </t>
  </si>
  <si>
    <t>KAB.</t>
  </si>
  <si>
    <t>KADIS</t>
  </si>
  <si>
    <t>Dokumen kegiatan tugas tambahan sebagai Anggota / Pengurus MKKS/PGRI Kab. Barito Timur.</t>
  </si>
  <si>
    <t>Dokumen kegiatan Tugas tambahan sebagai Anggota / Pengurus PGRI / MGMP / KKG KabupatenBarito Timur.</t>
  </si>
  <si>
    <t xml:space="preserve">PEMBINA TK.I (IV/b) </t>
  </si>
  <si>
    <t>Dokumen Program Pengawasan Sekolah (Pembinaan, pemantauan, penilaian kinerja) dan Program Pembimbingan Pelatihan Guru dan atau Kepala Sekolah pada 4 sekolah binaan.</t>
  </si>
  <si>
    <t>Laporan pelaksanaan Pengawasan Sekolah (Pembinaan, Pemantauan SNP, Penilaian Kinerja Guru dan atau Kepala Sekolah) pada 4 sekolah binaan.</t>
  </si>
  <si>
    <t>Laporan pelaksanaan Pembimbingan Pelatihan Guru dan atau Kepala Sekolah pada 4 sekolah binaan.</t>
  </si>
  <si>
    <t>Laporan evaluasi hasil pelaksanaan Pengawasan sekolah (Pembinaan, pemantauan dan penilaian kinerja) dan Pembimbingan Pelatihan Guru dan atau Kepala Sekolah pada 4 sekolah binaan.</t>
  </si>
  <si>
    <t>TUTI ROSPASARI, S.Pd. M.Pd.</t>
  </si>
  <si>
    <t>19721025 199802 2 003</t>
  </si>
  <si>
    <t>SEKRETARIS DINAS</t>
  </si>
  <si>
    <t>LAMPUNG UTARA</t>
  </si>
  <si>
    <t>SUKATNO, S.H.</t>
  </si>
  <si>
    <t>19721001 199201 1 002</t>
  </si>
  <si>
    <t xml:space="preserve">Kotabumi </t>
  </si>
  <si>
    <t>09 Januari 2023</t>
  </si>
  <si>
    <t>Meningkatnya aksesibilitas dan kualitas Pendidikan Dasar Dinas Pendidikan Kab. Lampung Utara</t>
  </si>
  <si>
    <t>Laporan Pelaksanaan kegiatan Program Peningkatan aksesibilitas dan kualitas pendidikan Dinas Pendidikan Kab. Lampung Utara</t>
  </si>
  <si>
    <t>Dokumen tugas kedinasan lain yang diberikan pimpinan baik lisan maupun tertulis dilingkungan Dinas Pendidikan Kab. Lampung Utara</t>
  </si>
  <si>
    <t>Dokumen kegiatan peningkatan kompetensi dan pengembangan karir ASN di lingkungan Dinas Pendidikan Kab. Lampung Utara</t>
  </si>
  <si>
    <t>Program pelaksanaan pengaturan, pengendalian, pembinaan dan pengawasan proses pembelajaran di lingkungan Dinas Pendidikan Kab. Lampung Utara</t>
  </si>
  <si>
    <t>Laporan pelaksanaan Program pelaksanaan pengaturan, pengendalian, pembinaan dan pengawasan proses pembelajaran di lingkungan Dinas Pendidikan Kab. Lampung Utara</t>
  </si>
  <si>
    <t>Laporan evaluasi hasil pelaksanaan, pengaturan, pengendalian, pembinaan dan pengawasan proses pembelajaran di lingkungan Dinas Pendidikan Kab. Lampung Utara</t>
  </si>
  <si>
    <t>Dokumen kegiatan tugas tambahan sebagai Pengurus atau MKKS/KKKS Kab. Lampung Utara</t>
  </si>
  <si>
    <t>Dokumen Program pelaksanaan tugas sesuai dengan bidang tugasnya sebagai bentuk akuntabilitas kinerja pada Dinas Pendidikan Kab. Lampung Utara</t>
  </si>
  <si>
    <t>Laporan pelaksanaan tugas sesuai dengan tugas yang telah direncanakan sebagai bentuk akuntabilitas kinerja pada Dinas Pendidikan Kab. Lampung Utara</t>
  </si>
  <si>
    <t>Laporan evaluasi hasil pelaksanaan tugas sesuai dengan tugas yang telah direncanakan sebagai bentuk akuntabilitas kinerja pada Dinas Pendidikan Kab. Lampung Utara</t>
  </si>
  <si>
    <t>Laporan kegiatan peningkatan kompetensi dan pengembangan karir ASN di lingkungan Dinas Pendidikan Kab. Lampung Utara</t>
  </si>
  <si>
    <t>Dokumen kegiatan Tugas tambahan sebagai Anggota / Pengurus APSI Kab. Lampung Utara</t>
  </si>
  <si>
    <t>PEMBINA TK.I</t>
  </si>
  <si>
    <t>IV.b</t>
  </si>
  <si>
    <t>UPTD SDN 1 KOTABUMI TENGAH</t>
  </si>
  <si>
    <t>RUSLAN, S.Pd</t>
  </si>
  <si>
    <t>19660625 199112 1 001</t>
  </si>
</sst>
</file>

<file path=xl/styles.xml><?xml version="1.0" encoding="utf-8"?>
<styleSheet xmlns="http://schemas.openxmlformats.org/spreadsheetml/2006/main" xmlns:mc="http://schemas.openxmlformats.org/markup-compatibility/2006" xmlns:x14ac="http://schemas.microsoft.com/office/spreadsheetml/2009/9/ac" mc:Ignorable="x14ac">
  <fonts count="10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Times New Roman"/>
      <family val="1"/>
    </font>
    <font>
      <b/>
      <sz val="9"/>
      <color indexed="81"/>
      <name val="Tahoma"/>
      <family val="2"/>
    </font>
    <font>
      <sz val="9"/>
      <color indexed="81"/>
      <name val="Tahoma"/>
      <family val="2"/>
    </font>
    <font>
      <i/>
      <sz val="11"/>
      <color theme="1"/>
      <name val="Calibri"/>
      <family val="2"/>
      <scheme val="minor"/>
    </font>
    <font>
      <sz val="10"/>
      <name val="Arial"/>
      <family val="2"/>
    </font>
    <font>
      <sz val="14"/>
      <name val="Bernard MT Condensed"/>
      <family val="1"/>
    </font>
    <font>
      <u/>
      <sz val="8"/>
      <color indexed="12"/>
      <name val="Arial"/>
      <family val="2"/>
    </font>
    <font>
      <sz val="14"/>
      <color theme="0"/>
      <name val="Bernard MT Condensed"/>
      <family val="1"/>
    </font>
    <font>
      <sz val="12"/>
      <name val="Bernard MT Condensed"/>
      <family val="1"/>
    </font>
    <font>
      <b/>
      <sz val="10"/>
      <name val="Arial"/>
      <family val="2"/>
    </font>
    <font>
      <b/>
      <sz val="13"/>
      <name val="Arial Narrow"/>
      <family val="2"/>
    </font>
    <font>
      <sz val="10"/>
      <name val="Georgia"/>
      <family val="1"/>
    </font>
    <font>
      <sz val="12"/>
      <color rgb="FFC00000"/>
      <name val="Bernard MT Condensed"/>
      <family val="1"/>
    </font>
    <font>
      <sz val="10"/>
      <color indexed="10"/>
      <name val="Arial"/>
      <family val="2"/>
    </font>
    <font>
      <sz val="10"/>
      <color indexed="22"/>
      <name val="Arial"/>
      <family val="2"/>
    </font>
    <font>
      <b/>
      <sz val="10"/>
      <name val="Arial Narrow"/>
      <family val="2"/>
    </font>
    <font>
      <sz val="12"/>
      <color indexed="10"/>
      <name val="Bernard MT Condensed"/>
      <family val="1"/>
    </font>
    <font>
      <sz val="10"/>
      <name val="Arial Narrow"/>
      <family val="2"/>
    </font>
    <font>
      <sz val="10"/>
      <color indexed="10"/>
      <name val="Arial Narrow"/>
      <family val="2"/>
    </font>
    <font>
      <sz val="10"/>
      <color rgb="FFC00000"/>
      <name val="Arial"/>
      <family val="2"/>
    </font>
    <font>
      <sz val="12"/>
      <name val="Arial Narrow"/>
      <family val="2"/>
    </font>
    <font>
      <sz val="12"/>
      <color indexed="10"/>
      <name val="Arial Narrow"/>
      <family val="2"/>
    </font>
    <font>
      <sz val="12"/>
      <color theme="1"/>
      <name val="Times New Roman"/>
      <family val="1"/>
    </font>
    <font>
      <sz val="12"/>
      <name val="Times New Roman"/>
      <family val="1"/>
    </font>
    <font>
      <b/>
      <sz val="14"/>
      <color theme="1"/>
      <name val="Times New Roman"/>
      <family val="1"/>
    </font>
    <font>
      <sz val="11"/>
      <name val="Arial"/>
      <family val="2"/>
    </font>
    <font>
      <b/>
      <sz val="12"/>
      <color theme="1"/>
      <name val="Times New Roman"/>
      <family val="1"/>
    </font>
    <font>
      <b/>
      <sz val="12"/>
      <name val="Times New Roman"/>
      <family val="1"/>
    </font>
    <font>
      <sz val="10"/>
      <name val="Calibri"/>
      <family val="2"/>
      <scheme val="minor"/>
    </font>
    <font>
      <sz val="12"/>
      <name val="Calibri"/>
      <family val="2"/>
      <scheme val="minor"/>
    </font>
    <font>
      <sz val="12"/>
      <color theme="0"/>
      <name val="Times New Roman"/>
      <family val="1"/>
    </font>
    <font>
      <u/>
      <sz val="12"/>
      <color theme="10"/>
      <name val="Times New Roman"/>
      <family val="1"/>
    </font>
    <font>
      <sz val="36"/>
      <name val="Wingdings"/>
      <charset val="2"/>
    </font>
    <font>
      <sz val="40"/>
      <name val="Wingdings"/>
      <charset val="2"/>
    </font>
    <font>
      <sz val="35"/>
      <name val="Wingdings"/>
      <charset val="2"/>
    </font>
    <font>
      <i/>
      <sz val="11"/>
      <name val="Arial Narrow"/>
      <family val="2"/>
    </font>
    <font>
      <b/>
      <i/>
      <sz val="11"/>
      <name val="Arial Narrow"/>
      <family val="2"/>
    </font>
    <font>
      <b/>
      <i/>
      <sz val="12"/>
      <name val="Calibri"/>
      <family val="2"/>
      <scheme val="minor"/>
    </font>
    <font>
      <sz val="12"/>
      <color indexed="9"/>
      <name val="Calibri"/>
      <family val="2"/>
      <scheme val="minor"/>
    </font>
    <font>
      <b/>
      <sz val="24"/>
      <name val="Calibri"/>
      <family val="2"/>
      <scheme val="minor"/>
    </font>
    <font>
      <b/>
      <sz val="18"/>
      <name val="Calibri"/>
      <family val="2"/>
      <scheme val="minor"/>
    </font>
    <font>
      <b/>
      <sz val="14"/>
      <name val="Calibri"/>
      <family val="2"/>
      <scheme val="minor"/>
    </font>
    <font>
      <b/>
      <sz val="16"/>
      <name val="Calibri"/>
      <family val="2"/>
      <scheme val="minor"/>
    </font>
    <font>
      <sz val="14"/>
      <name val="Calibri"/>
      <family val="2"/>
      <scheme val="minor"/>
    </font>
    <font>
      <b/>
      <sz val="20"/>
      <name val="Calibri"/>
      <family val="2"/>
      <scheme val="minor"/>
    </font>
    <font>
      <sz val="11"/>
      <color theme="1"/>
      <name val="Arial"/>
      <family val="2"/>
    </font>
    <font>
      <sz val="14"/>
      <color theme="1"/>
      <name val="Bernard MT Condensed"/>
      <family val="1"/>
    </font>
    <font>
      <sz val="12"/>
      <color theme="1"/>
      <name val="Arial"/>
      <family val="2"/>
    </font>
    <font>
      <b/>
      <sz val="16"/>
      <color rgb="FFFFFF00"/>
      <name val="Arial"/>
      <family val="2"/>
    </font>
    <font>
      <sz val="14"/>
      <color theme="3" tint="-0.499984740745262"/>
      <name val="Bernard MT Condensed"/>
      <family val="1"/>
    </font>
    <font>
      <u/>
      <sz val="11"/>
      <color theme="10"/>
      <name val="Arial"/>
      <family val="2"/>
    </font>
    <font>
      <sz val="11"/>
      <color theme="3" tint="-0.499984740745262"/>
      <name val="Arial"/>
      <family val="2"/>
    </font>
    <font>
      <b/>
      <sz val="16"/>
      <color theme="1"/>
      <name val="Arial"/>
      <family val="2"/>
    </font>
    <font>
      <b/>
      <sz val="16"/>
      <color theme="3" tint="-0.499984740745262"/>
      <name val="Arial"/>
      <family val="2"/>
    </font>
    <font>
      <u/>
      <sz val="14"/>
      <name val="Bernard MT Condensed"/>
      <family val="1"/>
    </font>
    <font>
      <i/>
      <sz val="9"/>
      <color rgb="FFFFFF00"/>
      <name val="Bernard MT Condensed"/>
      <family val="1"/>
    </font>
    <font>
      <u/>
      <sz val="14"/>
      <color theme="10"/>
      <name val="Bernard MT Condensed"/>
      <family val="1"/>
    </font>
    <font>
      <u/>
      <sz val="11"/>
      <color rgb="FFC00000"/>
      <name val="Arial"/>
      <family val="2"/>
    </font>
    <font>
      <sz val="12"/>
      <color theme="0"/>
      <name val="Bernard MT Condensed"/>
      <family val="1"/>
    </font>
    <font>
      <sz val="35"/>
      <color theme="0"/>
      <name val="Wingdings"/>
      <charset val="2"/>
    </font>
    <font>
      <b/>
      <sz val="12"/>
      <color theme="1"/>
      <name val="Calibri"/>
      <family val="2"/>
      <scheme val="minor"/>
    </font>
    <font>
      <b/>
      <sz val="12"/>
      <name val="Calibri"/>
      <family val="2"/>
      <scheme val="minor"/>
    </font>
    <font>
      <i/>
      <sz val="12"/>
      <name val="Calibri"/>
      <family val="2"/>
      <scheme val="minor"/>
    </font>
    <font>
      <sz val="14"/>
      <color theme="0"/>
      <name val="Arial Black"/>
      <family val="2"/>
    </font>
    <font>
      <b/>
      <sz val="12"/>
      <name val="Arial"/>
      <family val="2"/>
    </font>
    <font>
      <sz val="11"/>
      <name val="Times New Roman"/>
      <family val="1"/>
    </font>
    <font>
      <sz val="16"/>
      <color theme="0"/>
      <name val="Bernard MT Condensed"/>
      <family val="1"/>
    </font>
    <font>
      <sz val="11"/>
      <color theme="0"/>
      <name val="Calibri"/>
      <family val="2"/>
      <scheme val="minor"/>
    </font>
    <font>
      <b/>
      <sz val="11"/>
      <color theme="0"/>
      <name val="Calibri"/>
      <family val="2"/>
      <scheme val="minor"/>
    </font>
    <font>
      <b/>
      <sz val="12"/>
      <color theme="0"/>
      <name val="Times New Roman"/>
      <family val="1"/>
    </font>
    <font>
      <sz val="60"/>
      <name val="Wingdings"/>
      <charset val="2"/>
    </font>
    <font>
      <sz val="60"/>
      <color theme="1"/>
      <name val="Calibri"/>
      <family val="2"/>
      <scheme val="minor"/>
    </font>
    <font>
      <b/>
      <sz val="8"/>
      <color theme="1"/>
      <name val="Arial Narrow"/>
      <family val="2"/>
    </font>
    <font>
      <b/>
      <i/>
      <sz val="8"/>
      <color theme="1"/>
      <name val="Arial Narrow"/>
      <family val="2"/>
    </font>
    <font>
      <b/>
      <sz val="12"/>
      <color rgb="FF800000"/>
      <name val="Times New Roman"/>
      <family val="1"/>
    </font>
    <font>
      <strike/>
      <sz val="12"/>
      <color theme="1"/>
      <name val="Calibri"/>
      <family val="2"/>
      <scheme val="minor"/>
    </font>
    <font>
      <sz val="36"/>
      <color theme="1"/>
      <name val="Wingdings"/>
      <charset val="2"/>
    </font>
    <font>
      <sz val="12"/>
      <color theme="0" tint="-0.34998626667073579"/>
      <name val="Times New Roman"/>
      <family val="1"/>
    </font>
    <font>
      <sz val="11"/>
      <color theme="0"/>
      <name val="Bernard MT Condensed"/>
      <family val="1"/>
    </font>
    <font>
      <b/>
      <sz val="11"/>
      <color theme="1"/>
      <name val="Times New Roman"/>
      <family val="1"/>
    </font>
    <font>
      <sz val="12"/>
      <color theme="1"/>
      <name val="Bernard MT Condensed"/>
      <family val="1"/>
    </font>
    <font>
      <b/>
      <sz val="8"/>
      <color theme="1"/>
      <name val="Calibri"/>
      <family val="2"/>
      <scheme val="minor"/>
    </font>
    <font>
      <b/>
      <sz val="10"/>
      <color theme="1"/>
      <name val="Calibri"/>
      <family val="2"/>
      <scheme val="minor"/>
    </font>
    <font>
      <sz val="8"/>
      <color theme="1"/>
      <name val="Calibri"/>
      <family val="2"/>
      <scheme val="minor"/>
    </font>
    <font>
      <sz val="8"/>
      <color theme="0"/>
      <name val="Calibri"/>
      <family val="2"/>
      <scheme val="minor"/>
    </font>
    <font>
      <b/>
      <sz val="14"/>
      <name val="Rockwell"/>
      <family val="1"/>
    </font>
    <font>
      <b/>
      <sz val="12"/>
      <color theme="0"/>
      <name val="Rockwell"/>
      <family val="1"/>
    </font>
    <font>
      <sz val="11"/>
      <color theme="0"/>
      <name val="Arial"/>
      <family val="2"/>
    </font>
    <font>
      <sz val="10"/>
      <color rgb="FFFF0000"/>
      <name val="Arial Narrow"/>
      <family val="2"/>
    </font>
    <font>
      <sz val="10"/>
      <color rgb="FFC00000"/>
      <name val="Arial Narrow"/>
      <family val="2"/>
    </font>
  </fonts>
  <fills count="39">
    <fill>
      <patternFill patternType="none"/>
    </fill>
    <fill>
      <patternFill patternType="gray125"/>
    </fill>
    <fill>
      <patternFill patternType="solid">
        <fgColor theme="4" tint="0.79998168889431442"/>
        <bgColor indexed="64"/>
      </patternFill>
    </fill>
    <fill>
      <patternFill patternType="solid">
        <fgColor indexed="22"/>
        <bgColor indexed="64"/>
      </patternFill>
    </fill>
    <fill>
      <patternFill patternType="solid">
        <fgColor theme="1"/>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1" tint="0.14999847407452621"/>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7"/>
        <bgColor indexed="64"/>
      </patternFill>
    </fill>
    <fill>
      <patternFill patternType="solid">
        <fgColor rgb="FFF1C5E2"/>
        <bgColor indexed="64"/>
      </patternFill>
    </fill>
    <fill>
      <patternFill patternType="solid">
        <fgColor rgb="FF792D2B"/>
        <bgColor indexed="64"/>
      </patternFill>
    </fill>
    <fill>
      <patternFill patternType="solid">
        <fgColor rgb="FF85312F"/>
        <bgColor indexed="64"/>
      </patternFill>
    </fill>
    <fill>
      <patternFill patternType="solid">
        <fgColor rgb="FFA73E3B"/>
        <bgColor indexed="64"/>
      </patternFill>
    </fill>
    <fill>
      <patternFill patternType="solid">
        <fgColor rgb="FF800000"/>
        <bgColor indexed="64"/>
      </patternFill>
    </fill>
    <fill>
      <patternFill patternType="solid">
        <fgColor theme="4" tint="-0.499984740745262"/>
        <bgColor indexed="64"/>
      </patternFill>
    </fill>
    <fill>
      <patternFill patternType="solid">
        <fgColor rgb="FFC0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6795556505021"/>
        <bgColor indexed="64"/>
      </patternFill>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auto="1"/>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theme="0"/>
      </top>
      <bottom style="thin">
        <color theme="0"/>
      </bottom>
      <diagonal/>
    </border>
  </borders>
  <cellStyleXfs count="10">
    <xf numFmtId="0" fontId="0" fillId="0" borderId="0"/>
    <xf numFmtId="9" fontId="15" fillId="0" borderId="0" applyFont="0" applyFill="0" applyBorder="0" applyAlignment="0" applyProtection="0"/>
    <xf numFmtId="0" fontId="17" fillId="0" borderId="0" applyNumberFormat="0" applyFill="0" applyBorder="0" applyAlignment="0" applyProtection="0"/>
    <xf numFmtId="0" fontId="22" fillId="0" borderId="0"/>
    <xf numFmtId="0" fontId="24" fillId="0" borderId="0" applyNumberFormat="0" applyFill="0" applyBorder="0" applyAlignment="0" applyProtection="0">
      <alignment vertical="top"/>
      <protection locked="0"/>
    </xf>
    <xf numFmtId="0" fontId="22" fillId="0" borderId="0"/>
    <xf numFmtId="0" fontId="22" fillId="0" borderId="0"/>
    <xf numFmtId="0" fontId="63" fillId="0" borderId="0"/>
    <xf numFmtId="0" fontId="68" fillId="0" borderId="0" applyNumberFormat="0" applyFill="0" applyBorder="0" applyAlignment="0" applyProtection="0"/>
    <xf numFmtId="0" fontId="17" fillId="0" borderId="0" applyNumberFormat="0" applyFill="0" applyBorder="0" applyAlignment="0" applyProtection="0"/>
  </cellStyleXfs>
  <cellXfs count="733">
    <xf numFmtId="0" fontId="0" fillId="0" borderId="0" xfId="0"/>
    <xf numFmtId="0" fontId="17" fillId="0" borderId="0" xfId="2"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18" fillId="0" borderId="0" xfId="0" applyFont="1"/>
    <xf numFmtId="0" fontId="18" fillId="0" borderId="0" xfId="0" applyFont="1" applyAlignment="1">
      <alignment vertical="top"/>
    </xf>
    <xf numFmtId="0" fontId="18" fillId="0" borderId="0" xfId="0" applyFont="1" applyAlignment="1">
      <alignment horizontal="center" vertical="center"/>
    </xf>
    <xf numFmtId="0" fontId="16" fillId="0" borderId="2" xfId="0" applyFont="1" applyBorder="1" applyAlignment="1">
      <alignment horizontal="center"/>
    </xf>
    <xf numFmtId="0" fontId="0" fillId="0" borderId="2" xfId="0" applyBorder="1"/>
    <xf numFmtId="0" fontId="0" fillId="0" borderId="2" xfId="0" applyBorder="1" applyAlignment="1">
      <alignment horizontal="center"/>
    </xf>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center" vertical="center"/>
    </xf>
    <xf numFmtId="0" fontId="16" fillId="0" borderId="2" xfId="0" applyFont="1" applyBorder="1" applyAlignment="1">
      <alignment horizontal="center" vertical="center"/>
    </xf>
    <xf numFmtId="0" fontId="0" fillId="0" borderId="0" xfId="0" applyAlignment="1">
      <alignment vertical="top" wrapText="1"/>
    </xf>
    <xf numFmtId="0" fontId="0" fillId="0" borderId="0" xfId="0" applyAlignment="1">
      <alignment vertical="center"/>
    </xf>
    <xf numFmtId="0" fontId="0" fillId="0" borderId="2" xfId="0" applyBorder="1" applyAlignment="1">
      <alignment horizontal="center" vertical="center"/>
    </xf>
    <xf numFmtId="9" fontId="0" fillId="0" borderId="0" xfId="1" applyFont="1" applyAlignment="1">
      <alignment vertical="center"/>
    </xf>
    <xf numFmtId="9" fontId="0" fillId="0" borderId="0" xfId="0" applyNumberFormat="1" applyAlignment="1">
      <alignment vertical="center"/>
    </xf>
    <xf numFmtId="0" fontId="0" fillId="0" borderId="2" xfId="0" applyBorder="1" applyAlignment="1">
      <alignment horizontal="left" vertical="center" indent="1"/>
    </xf>
    <xf numFmtId="0" fontId="23" fillId="3" borderId="0" xfId="3" applyFont="1" applyFill="1" applyAlignment="1">
      <alignment horizontal="center" vertical="center"/>
    </xf>
    <xf numFmtId="0" fontId="25" fillId="4" borderId="0" xfId="4" applyFont="1" applyFill="1" applyAlignment="1" applyProtection="1">
      <alignment horizontal="center" vertical="center"/>
    </xf>
    <xf numFmtId="0" fontId="22" fillId="5" borderId="0" xfId="5" applyFill="1" applyAlignment="1">
      <alignment horizontal="center" vertical="center"/>
    </xf>
    <xf numFmtId="0" fontId="26" fillId="5" borderId="0" xfId="5" applyFont="1" applyFill="1" applyAlignment="1">
      <alignment vertical="center"/>
    </xf>
    <xf numFmtId="0" fontId="22" fillId="6" borderId="0" xfId="5" applyFill="1" applyAlignment="1">
      <alignment vertical="center"/>
    </xf>
    <xf numFmtId="0" fontId="22" fillId="7" borderId="0" xfId="5" applyFill="1" applyAlignment="1">
      <alignment vertical="center"/>
    </xf>
    <xf numFmtId="0" fontId="27" fillId="7" borderId="0" xfId="5" applyFont="1" applyFill="1" applyAlignment="1">
      <alignment vertical="center"/>
    </xf>
    <xf numFmtId="0" fontId="22" fillId="3" borderId="0" xfId="5" applyFill="1" applyAlignment="1">
      <alignment vertical="center"/>
    </xf>
    <xf numFmtId="0" fontId="22" fillId="0" borderId="0" xfId="5"/>
    <xf numFmtId="0" fontId="28" fillId="0" borderId="0" xfId="5" applyFont="1"/>
    <xf numFmtId="0" fontId="29" fillId="6" borderId="0" xfId="3" applyFont="1" applyFill="1" applyAlignment="1">
      <alignment horizontal="center"/>
    </xf>
    <xf numFmtId="0" fontId="30" fillId="5" borderId="0" xfId="4" applyFont="1" applyFill="1" applyAlignment="1" applyProtection="1">
      <alignment horizontal="center"/>
    </xf>
    <xf numFmtId="0" fontId="22" fillId="3" borderId="0" xfId="5" applyFill="1"/>
    <xf numFmtId="0" fontId="22" fillId="8" borderId="0" xfId="5" applyFill="1" applyAlignment="1">
      <alignment vertical="center"/>
    </xf>
    <xf numFmtId="0" fontId="27" fillId="9" borderId="0" xfId="5" applyFont="1" applyFill="1" applyAlignment="1">
      <alignment horizontal="left" vertical="center"/>
    </xf>
    <xf numFmtId="0" fontId="22" fillId="9" borderId="0" xfId="5" applyFill="1" applyAlignment="1">
      <alignment vertical="center"/>
    </xf>
    <xf numFmtId="0" fontId="31" fillId="8" borderId="0" xfId="5" applyFont="1" applyFill="1" applyAlignment="1">
      <alignment vertical="center"/>
    </xf>
    <xf numFmtId="0" fontId="22" fillId="0" borderId="0" xfId="5" applyAlignment="1">
      <alignment vertical="center"/>
    </xf>
    <xf numFmtId="0" fontId="27" fillId="0" borderId="0" xfId="5" applyFont="1" applyAlignment="1">
      <alignment vertical="center"/>
    </xf>
    <xf numFmtId="0" fontId="22" fillId="0" borderId="0" xfId="5" applyAlignment="1">
      <alignment horizontal="center" vertical="center"/>
    </xf>
    <xf numFmtId="0" fontId="32" fillId="0" borderId="0" xfId="5" applyFont="1" applyAlignment="1">
      <alignment vertical="center"/>
    </xf>
    <xf numFmtId="0" fontId="26" fillId="5" borderId="0" xfId="5" applyFont="1" applyFill="1" applyAlignment="1">
      <alignment horizontal="left" indent="1"/>
    </xf>
    <xf numFmtId="0" fontId="22" fillId="5" borderId="0" xfId="5" applyFill="1" applyAlignment="1">
      <alignment vertical="center"/>
    </xf>
    <xf numFmtId="0" fontId="34" fillId="5" borderId="0" xfId="5" applyFont="1" applyFill="1" applyAlignment="1">
      <alignment horizontal="left" indent="1"/>
    </xf>
    <xf numFmtId="0" fontId="29" fillId="6" borderId="0" xfId="3" applyFont="1" applyFill="1" applyAlignment="1">
      <alignment horizontal="center" vertical="center"/>
    </xf>
    <xf numFmtId="0" fontId="35" fillId="5" borderId="0" xfId="5" applyFont="1" applyFill="1" applyAlignment="1">
      <alignment horizontal="left" vertical="center" indent="1"/>
    </xf>
    <xf numFmtId="0" fontId="35" fillId="5" borderId="0" xfId="5" applyFont="1" applyFill="1" applyAlignment="1">
      <alignment horizontal="center" vertical="center"/>
    </xf>
    <xf numFmtId="0" fontId="35" fillId="5" borderId="0" xfId="5" applyFont="1" applyFill="1" applyAlignment="1">
      <alignment vertical="center"/>
    </xf>
    <xf numFmtId="0" fontId="36" fillId="8" borderId="0" xfId="5" applyFont="1" applyFill="1" applyAlignment="1">
      <alignment horizontal="left" vertical="center" indent="1"/>
    </xf>
    <xf numFmtId="0" fontId="22" fillId="8" borderId="0" xfId="5" applyFill="1" applyAlignment="1">
      <alignment horizontal="left" vertical="center" indent="1"/>
    </xf>
    <xf numFmtId="0" fontId="22" fillId="8" borderId="0" xfId="5" applyFill="1"/>
    <xf numFmtId="0" fontId="38" fillId="8" borderId="0" xfId="5" applyFont="1" applyFill="1"/>
    <xf numFmtId="0" fontId="22" fillId="10" borderId="0" xfId="5" applyFill="1"/>
    <xf numFmtId="0" fontId="27" fillId="10" borderId="0" xfId="5" applyFont="1" applyFill="1"/>
    <xf numFmtId="0" fontId="39" fillId="10" borderId="0" xfId="5" applyFont="1" applyFill="1"/>
    <xf numFmtId="0" fontId="22" fillId="11" borderId="0" xfId="5" applyFill="1"/>
    <xf numFmtId="0" fontId="22" fillId="5" borderId="0" xfId="5" applyFill="1" applyAlignment="1">
      <alignment horizontal="center"/>
    </xf>
    <xf numFmtId="0" fontId="22" fillId="5" borderId="0" xfId="5" applyFill="1"/>
    <xf numFmtId="0" fontId="37" fillId="5" borderId="0" xfId="5" applyFont="1" applyFill="1"/>
    <xf numFmtId="0" fontId="31" fillId="7" borderId="0" xfId="5" applyFont="1" applyFill="1" applyAlignment="1">
      <alignment horizontal="left" indent="1"/>
    </xf>
    <xf numFmtId="0" fontId="22" fillId="7" borderId="0" xfId="5" applyFill="1" applyAlignment="1">
      <alignment horizontal="left" indent="1"/>
    </xf>
    <xf numFmtId="0" fontId="29" fillId="3" borderId="0" xfId="3" applyFont="1" applyFill="1" applyAlignment="1">
      <alignment horizontal="center"/>
    </xf>
    <xf numFmtId="0" fontId="40" fillId="0" borderId="0" xfId="0" applyFont="1"/>
    <xf numFmtId="0" fontId="40" fillId="0" borderId="0" xfId="0" applyFont="1" applyAlignment="1">
      <alignment vertical="top"/>
    </xf>
    <xf numFmtId="0" fontId="40" fillId="0" borderId="1" xfId="0" applyFont="1" applyBorder="1" applyAlignment="1">
      <alignment vertical="top"/>
    </xf>
    <xf numFmtId="0" fontId="25" fillId="4" borderId="0" xfId="3" applyFont="1" applyFill="1" applyAlignment="1">
      <alignment horizontal="center" vertical="center"/>
    </xf>
    <xf numFmtId="0" fontId="23" fillId="0" borderId="0" xfId="2" applyFont="1" applyAlignment="1">
      <alignment horizontal="center" vertical="center" wrapText="1"/>
    </xf>
    <xf numFmtId="0" fontId="40" fillId="0" borderId="2" xfId="0" applyFont="1" applyBorder="1" applyAlignment="1">
      <alignment horizontal="left" vertical="top" indent="1"/>
    </xf>
    <xf numFmtId="0" fontId="40" fillId="0" borderId="0" xfId="0" applyFont="1" applyAlignment="1">
      <alignment horizontal="center"/>
    </xf>
    <xf numFmtId="0" fontId="16" fillId="0" borderId="0" xfId="0" applyFont="1" applyAlignment="1">
      <alignment horizontal="center"/>
    </xf>
    <xf numFmtId="0" fontId="18" fillId="0" borderId="0" xfId="0" applyFont="1" applyAlignment="1">
      <alignment horizontal="left" indent="1"/>
    </xf>
    <xf numFmtId="0" fontId="25" fillId="4" borderId="0" xfId="2" applyFont="1" applyFill="1" applyAlignment="1">
      <alignment horizontal="center" vertical="center" wrapText="1"/>
    </xf>
    <xf numFmtId="0" fontId="43" fillId="3" borderId="0" xfId="5" applyFont="1" applyFill="1" applyAlignment="1">
      <alignment vertical="center"/>
    </xf>
    <xf numFmtId="0" fontId="18" fillId="0" borderId="2" xfId="0" applyFont="1" applyBorder="1" applyAlignment="1">
      <alignment horizontal="left" vertical="top" indent="1"/>
    </xf>
    <xf numFmtId="0" fontId="40" fillId="0" borderId="2" xfId="0" applyFont="1" applyBorder="1" applyAlignment="1">
      <alignment horizontal="center" vertical="top"/>
    </xf>
    <xf numFmtId="0" fontId="40" fillId="0" borderId="0" xfId="0" quotePrefix="1" applyFont="1" applyAlignment="1">
      <alignment horizontal="left" vertical="top"/>
    </xf>
    <xf numFmtId="0" fontId="40" fillId="0" borderId="0" xfId="0" quotePrefix="1" applyFont="1" applyAlignment="1">
      <alignment horizontal="left"/>
    </xf>
    <xf numFmtId="0" fontId="0" fillId="0" borderId="0" xfId="0" applyAlignment="1">
      <alignment horizontal="left" indent="1"/>
    </xf>
    <xf numFmtId="0" fontId="41" fillId="0" borderId="0" xfId="0" applyFont="1" applyAlignment="1">
      <alignment horizontal="left" vertical="top" indent="1"/>
    </xf>
    <xf numFmtId="0" fontId="0" fillId="0" borderId="0" xfId="0" applyAlignment="1">
      <alignment horizontal="left" vertical="center" wrapText="1" indent="1"/>
    </xf>
    <xf numFmtId="0" fontId="40" fillId="0" borderId="2" xfId="0" quotePrefix="1" applyFont="1" applyBorder="1" applyAlignment="1">
      <alignment horizontal="left" vertical="top" wrapText="1" indent="1"/>
    </xf>
    <xf numFmtId="0" fontId="40" fillId="15" borderId="2" xfId="0" quotePrefix="1" applyFont="1" applyFill="1" applyBorder="1" applyAlignment="1">
      <alignment horizontal="left" vertical="top" wrapText="1" indent="1"/>
    </xf>
    <xf numFmtId="0" fontId="18" fillId="0" borderId="2" xfId="0" applyFont="1" applyBorder="1" applyAlignment="1">
      <alignment horizontal="left" indent="1"/>
    </xf>
    <xf numFmtId="0" fontId="40" fillId="0" borderId="0" xfId="0" applyFont="1" applyAlignment="1">
      <alignment horizontal="left" indent="1"/>
    </xf>
    <xf numFmtId="0" fontId="40" fillId="0" borderId="2" xfId="0" applyFont="1" applyBorder="1" applyAlignment="1">
      <alignment horizontal="left" indent="1"/>
    </xf>
    <xf numFmtId="0" fontId="40" fillId="0" borderId="0" xfId="0" applyFont="1" applyAlignment="1">
      <alignment horizontal="center" vertical="top" wrapText="1"/>
    </xf>
    <xf numFmtId="0" fontId="40" fillId="0" borderId="0" xfId="0" quotePrefix="1" applyFont="1" applyAlignment="1">
      <alignment horizontal="left" vertical="top" indent="1"/>
    </xf>
    <xf numFmtId="0" fontId="0" fillId="18" borderId="0" xfId="0" applyFill="1"/>
    <xf numFmtId="0" fontId="0" fillId="19" borderId="0" xfId="0" applyFill="1"/>
    <xf numFmtId="0" fontId="18" fillId="19" borderId="0" xfId="0" applyFont="1" applyFill="1"/>
    <xf numFmtId="0" fontId="18" fillId="19" borderId="0" xfId="0" applyFont="1" applyFill="1" applyAlignment="1">
      <alignment vertical="top"/>
    </xf>
    <xf numFmtId="0" fontId="0" fillId="19" borderId="0" xfId="0" applyFill="1" applyAlignment="1">
      <alignment horizontal="center" vertical="center" wrapText="1"/>
    </xf>
    <xf numFmtId="0" fontId="0" fillId="19" borderId="0" xfId="0" applyFill="1" applyAlignment="1">
      <alignment wrapText="1"/>
    </xf>
    <xf numFmtId="0" fontId="0" fillId="19" borderId="0" xfId="0" applyFill="1" applyAlignment="1">
      <alignment vertical="top" wrapText="1"/>
    </xf>
    <xf numFmtId="0" fontId="0" fillId="19" borderId="0" xfId="0" applyFill="1" applyAlignment="1">
      <alignment horizontal="left" indent="1"/>
    </xf>
    <xf numFmtId="0" fontId="0" fillId="10" borderId="0" xfId="0" applyFill="1" applyAlignment="1">
      <alignment horizontal="left" indent="1"/>
    </xf>
    <xf numFmtId="0" fontId="0" fillId="10" borderId="0" xfId="0" applyFill="1" applyAlignment="1">
      <alignment horizontal="left" vertical="center" wrapText="1" indent="1"/>
    </xf>
    <xf numFmtId="0" fontId="40" fillId="10" borderId="2" xfId="0" applyFont="1" applyFill="1" applyBorder="1" applyAlignment="1">
      <alignment horizontal="center" vertical="center"/>
    </xf>
    <xf numFmtId="0" fontId="40" fillId="10" borderId="2" xfId="0" applyFont="1" applyFill="1" applyBorder="1" applyAlignment="1">
      <alignment horizontal="center" vertical="top"/>
    </xf>
    <xf numFmtId="0" fontId="40" fillId="10" borderId="4" xfId="0" applyFont="1" applyFill="1" applyBorder="1" applyAlignment="1">
      <alignment horizontal="left" vertical="center"/>
    </xf>
    <xf numFmtId="0" fontId="40" fillId="10" borderId="5" xfId="0" applyFont="1" applyFill="1" applyBorder="1" applyAlignment="1">
      <alignment horizontal="left" vertical="center"/>
    </xf>
    <xf numFmtId="0" fontId="40" fillId="0" borderId="0" xfId="0" applyFont="1" applyAlignment="1">
      <alignment horizontal="center" vertical="center"/>
    </xf>
    <xf numFmtId="0" fontId="49" fillId="0" borderId="0" xfId="2" applyFont="1" applyAlignment="1">
      <alignment horizontal="center" vertical="center"/>
    </xf>
    <xf numFmtId="0" fontId="40" fillId="0" borderId="2" xfId="0" applyFont="1" applyBorder="1" applyAlignment="1">
      <alignment horizontal="center" vertical="top" wrapText="1"/>
    </xf>
    <xf numFmtId="0" fontId="40" fillId="0" borderId="0" xfId="0" applyFont="1" applyAlignment="1">
      <alignment horizontal="center" vertical="center" wrapText="1"/>
    </xf>
    <xf numFmtId="0" fontId="40" fillId="0" borderId="0" xfId="0" applyFont="1" applyAlignment="1">
      <alignment horizontal="left"/>
    </xf>
    <xf numFmtId="0" fontId="40" fillId="0" borderId="0" xfId="0" applyFont="1" applyAlignment="1">
      <alignment wrapText="1"/>
    </xf>
    <xf numFmtId="0" fontId="40" fillId="0" borderId="0" xfId="0" applyFont="1" applyAlignment="1">
      <alignment vertical="top" wrapText="1"/>
    </xf>
    <xf numFmtId="2" fontId="40" fillId="0" borderId="0" xfId="0" applyNumberFormat="1" applyFont="1" applyAlignment="1">
      <alignment horizontal="center" vertical="center" wrapText="1"/>
    </xf>
    <xf numFmtId="0" fontId="40" fillId="18" borderId="0" xfId="0" applyFont="1" applyFill="1"/>
    <xf numFmtId="0" fontId="40" fillId="18" borderId="0" xfId="0" applyFont="1" applyFill="1" applyAlignment="1">
      <alignment vertical="top"/>
    </xf>
    <xf numFmtId="0" fontId="40" fillId="18" borderId="0" xfId="0" applyFont="1" applyFill="1" applyAlignment="1">
      <alignment horizontal="center" vertical="center" wrapText="1"/>
    </xf>
    <xf numFmtId="0" fontId="40" fillId="18" borderId="0" xfId="0" applyFont="1" applyFill="1" applyAlignment="1">
      <alignment horizontal="left"/>
    </xf>
    <xf numFmtId="0" fontId="40" fillId="18" borderId="0" xfId="0" applyFont="1" applyFill="1" applyAlignment="1">
      <alignment wrapText="1"/>
    </xf>
    <xf numFmtId="0" fontId="40" fillId="18" borderId="0" xfId="0" applyFont="1" applyFill="1" applyAlignment="1">
      <alignment vertical="top" wrapText="1"/>
    </xf>
    <xf numFmtId="2" fontId="40" fillId="0" borderId="0" xfId="0" applyNumberFormat="1" applyFont="1"/>
    <xf numFmtId="0" fontId="40" fillId="0" borderId="0" xfId="0" applyFont="1" applyAlignment="1">
      <alignment horizontal="left" vertical="center" indent="1"/>
    </xf>
    <xf numFmtId="0" fontId="40" fillId="0" borderId="0" xfId="0" applyFont="1" applyAlignment="1">
      <alignment horizontal="center" wrapText="1"/>
    </xf>
    <xf numFmtId="0" fontId="16" fillId="0" borderId="0" xfId="0" applyFont="1"/>
    <xf numFmtId="0" fontId="16" fillId="10" borderId="2" xfId="0" applyFont="1" applyFill="1" applyBorder="1" applyAlignment="1">
      <alignment horizontal="center" vertical="center"/>
    </xf>
    <xf numFmtId="0" fontId="16" fillId="10" borderId="2" xfId="0" applyFont="1" applyFill="1" applyBorder="1" applyAlignment="1">
      <alignment horizontal="center" vertical="center" wrapText="1"/>
    </xf>
    <xf numFmtId="0" fontId="40" fillId="7" borderId="1" xfId="0" applyFont="1" applyFill="1" applyBorder="1" applyAlignment="1">
      <alignment horizontal="left" vertical="top" wrapText="1" indent="1"/>
    </xf>
    <xf numFmtId="0" fontId="40" fillId="7" borderId="15" xfId="0" applyFont="1" applyFill="1" applyBorder="1" applyAlignment="1">
      <alignment horizontal="left" vertical="top" wrapText="1" indent="1"/>
    </xf>
    <xf numFmtId="0" fontId="40" fillId="7" borderId="2" xfId="0" applyFont="1" applyFill="1" applyBorder="1" applyAlignment="1">
      <alignment horizontal="center" vertical="center" wrapText="1"/>
    </xf>
    <xf numFmtId="0" fontId="40" fillId="7" borderId="3" xfId="0" quotePrefix="1" applyFont="1" applyFill="1" applyBorder="1" applyAlignment="1">
      <alignment horizontal="center" vertical="center" wrapText="1"/>
    </xf>
    <xf numFmtId="0" fontId="16" fillId="12" borderId="2" xfId="0" applyFont="1" applyFill="1" applyBorder="1" applyAlignment="1">
      <alignment horizontal="center" vertical="center" wrapText="1"/>
    </xf>
    <xf numFmtId="0" fontId="0" fillId="2" borderId="2" xfId="0" applyFill="1" applyBorder="1" applyAlignment="1">
      <alignment horizontal="center" vertical="center"/>
    </xf>
    <xf numFmtId="0" fontId="0" fillId="28" borderId="2" xfId="0" applyFill="1" applyBorder="1" applyAlignment="1">
      <alignment horizontal="left" vertical="center" wrapText="1" indent="1"/>
    </xf>
    <xf numFmtId="0" fontId="0" fillId="28" borderId="2" xfId="0" applyFill="1" applyBorder="1" applyAlignment="1">
      <alignment horizontal="left" vertical="center" indent="1"/>
    </xf>
    <xf numFmtId="0" fontId="44" fillId="0" borderId="0" xfId="0" applyFont="1" applyAlignment="1">
      <alignment horizontal="center" vertical="center"/>
    </xf>
    <xf numFmtId="0" fontId="53" fillId="0" borderId="0" xfId="5" applyFont="1" applyAlignment="1">
      <alignment vertical="center"/>
    </xf>
    <xf numFmtId="0" fontId="53" fillId="0" borderId="0" xfId="5" quotePrefix="1" applyFont="1" applyAlignment="1">
      <alignment vertical="center"/>
    </xf>
    <xf numFmtId="15" fontId="53" fillId="0" borderId="0" xfId="5" quotePrefix="1" applyNumberFormat="1" applyFont="1" applyAlignment="1">
      <alignment vertical="center"/>
    </xf>
    <xf numFmtId="15" fontId="54" fillId="0" borderId="0" xfId="5" applyNumberFormat="1" applyFont="1" applyAlignment="1">
      <alignment vertical="center"/>
    </xf>
    <xf numFmtId="15" fontId="53" fillId="0" borderId="0" xfId="5" applyNumberFormat="1" applyFont="1" applyAlignment="1">
      <alignment vertical="center"/>
    </xf>
    <xf numFmtId="0" fontId="47" fillId="23" borderId="0" xfId="6" applyFont="1" applyFill="1"/>
    <xf numFmtId="0" fontId="55" fillId="23" borderId="0" xfId="6" applyFont="1" applyFill="1" applyAlignment="1">
      <alignment horizontal="left" indent="1"/>
    </xf>
    <xf numFmtId="0" fontId="47" fillId="3" borderId="0" xfId="6" applyFont="1" applyFill="1"/>
    <xf numFmtId="0" fontId="56" fillId="0" borderId="0" xfId="6" applyFont="1" applyAlignment="1">
      <alignment horizontal="center"/>
    </xf>
    <xf numFmtId="0" fontId="56" fillId="0" borderId="16" xfId="6" applyFont="1" applyBorder="1" applyAlignment="1">
      <alignment horizontal="center"/>
    </xf>
    <xf numFmtId="0" fontId="56" fillId="0" borderId="17" xfId="6" applyFont="1" applyBorder="1" applyAlignment="1">
      <alignment horizontal="center"/>
    </xf>
    <xf numFmtId="0" fontId="56" fillId="0" borderId="18" xfId="6" applyFont="1" applyBorder="1" applyAlignment="1">
      <alignment horizontal="center"/>
    </xf>
    <xf numFmtId="0" fontId="56" fillId="0" borderId="19" xfId="6" applyFont="1" applyBorder="1" applyAlignment="1">
      <alignment horizontal="center"/>
    </xf>
    <xf numFmtId="0" fontId="56" fillId="0" borderId="20" xfId="6" applyFont="1" applyBorder="1" applyAlignment="1">
      <alignment horizontal="center"/>
    </xf>
    <xf numFmtId="0" fontId="47" fillId="0" borderId="0" xfId="6" applyFont="1" applyAlignment="1">
      <alignment horizontal="center"/>
    </xf>
    <xf numFmtId="0" fontId="60" fillId="0" borderId="19" xfId="6" applyFont="1" applyBorder="1" applyAlignment="1">
      <alignment horizontal="center"/>
    </xf>
    <xf numFmtId="0" fontId="60" fillId="0" borderId="0" xfId="6" applyFont="1" applyAlignment="1">
      <alignment horizontal="center"/>
    </xf>
    <xf numFmtId="0" fontId="60" fillId="0" borderId="20" xfId="6" applyFont="1" applyBorder="1" applyAlignment="1">
      <alignment horizontal="center"/>
    </xf>
    <xf numFmtId="0" fontId="47" fillId="0" borderId="19" xfId="6" applyFont="1" applyBorder="1"/>
    <xf numFmtId="0" fontId="47" fillId="0" borderId="0" xfId="6" applyFont="1"/>
    <xf numFmtId="0" fontId="47" fillId="0" borderId="20" xfId="6" applyFont="1" applyBorder="1"/>
    <xf numFmtId="0" fontId="59" fillId="0" borderId="0" xfId="6" applyFont="1" applyAlignment="1">
      <alignment horizontal="center" vertical="center"/>
    </xf>
    <xf numFmtId="0" fontId="47" fillId="3" borderId="0" xfId="6" applyFont="1" applyFill="1" applyAlignment="1">
      <alignment vertical="center"/>
    </xf>
    <xf numFmtId="0" fontId="60" fillId="0" borderId="19" xfId="6" applyFont="1" applyBorder="1" applyAlignment="1">
      <alignment horizontal="center" vertical="center"/>
    </xf>
    <xf numFmtId="0" fontId="60" fillId="0" borderId="0" xfId="6" applyFont="1" applyAlignment="1">
      <alignment horizontal="center" vertical="center"/>
    </xf>
    <xf numFmtId="0" fontId="60" fillId="0" borderId="20" xfId="6" applyFont="1" applyBorder="1" applyAlignment="1">
      <alignment horizontal="center" vertical="center"/>
    </xf>
    <xf numFmtId="0" fontId="61" fillId="0" borderId="19" xfId="6" applyFont="1" applyBorder="1" applyAlignment="1">
      <alignment horizontal="left" indent="3"/>
    </xf>
    <xf numFmtId="0" fontId="61" fillId="0" borderId="0" xfId="6" applyFont="1" applyAlignment="1">
      <alignment horizontal="center"/>
    </xf>
    <xf numFmtId="0" fontId="47" fillId="0" borderId="20" xfId="6" applyFont="1" applyBorder="1" applyAlignment="1">
      <alignment horizontal="left" indent="1"/>
    </xf>
    <xf numFmtId="0" fontId="47" fillId="0" borderId="0" xfId="6" applyFont="1" applyAlignment="1">
      <alignment horizontal="left" indent="1"/>
    </xf>
    <xf numFmtId="0" fontId="61" fillId="0" borderId="0" xfId="6" applyFont="1" applyAlignment="1">
      <alignment horizontal="left" vertical="top"/>
    </xf>
    <xf numFmtId="0" fontId="46" fillId="0" borderId="20" xfId="5" applyFont="1" applyBorder="1" applyAlignment="1">
      <alignment vertical="top"/>
    </xf>
    <xf numFmtId="0" fontId="46" fillId="0" borderId="0" xfId="5" applyFont="1" applyAlignment="1">
      <alignment vertical="top" wrapText="1"/>
    </xf>
    <xf numFmtId="0" fontId="46" fillId="0" borderId="0" xfId="5" applyFont="1" applyAlignment="1">
      <alignment vertical="top"/>
    </xf>
    <xf numFmtId="0" fontId="61" fillId="0" borderId="19" xfId="6" applyFont="1" applyBorder="1" applyAlignment="1">
      <alignment horizontal="left" indent="1"/>
    </xf>
    <xf numFmtId="0" fontId="61" fillId="0" borderId="0" xfId="6" applyFont="1"/>
    <xf numFmtId="0" fontId="47" fillId="5" borderId="0" xfId="6" applyFont="1" applyFill="1"/>
    <xf numFmtId="0" fontId="47" fillId="5" borderId="19" xfId="6" applyFont="1" applyFill="1" applyBorder="1"/>
    <xf numFmtId="0" fontId="47" fillId="5" borderId="20" xfId="6" applyFont="1" applyFill="1" applyBorder="1"/>
    <xf numFmtId="0" fontId="47" fillId="5" borderId="21" xfId="6" applyFont="1" applyFill="1" applyBorder="1"/>
    <xf numFmtId="0" fontId="47" fillId="5" borderId="22" xfId="6" applyFont="1" applyFill="1" applyBorder="1"/>
    <xf numFmtId="0" fontId="47" fillId="5" borderId="23" xfId="6" applyFont="1" applyFill="1" applyBorder="1"/>
    <xf numFmtId="0" fontId="56" fillId="5" borderId="0" xfId="6" applyFont="1" applyFill="1" applyAlignment="1">
      <alignment horizontal="center"/>
    </xf>
    <xf numFmtId="0" fontId="61" fillId="0" borderId="19" xfId="6" applyFont="1" applyBorder="1" applyAlignment="1">
      <alignment horizontal="left" vertical="top"/>
    </xf>
    <xf numFmtId="0" fontId="61" fillId="0" borderId="0" xfId="6" applyFont="1" applyAlignment="1">
      <alignment horizontal="center" vertical="top"/>
    </xf>
    <xf numFmtId="0" fontId="60" fillId="0" borderId="0" xfId="6" applyFont="1" applyAlignment="1">
      <alignment horizontal="left" vertical="top"/>
    </xf>
    <xf numFmtId="0" fontId="61" fillId="0" borderId="19" xfId="6" applyFont="1" applyBorder="1" applyAlignment="1">
      <alignment horizontal="left" vertical="top" indent="7"/>
    </xf>
    <xf numFmtId="0" fontId="63" fillId="10" borderId="0" xfId="7" applyFill="1"/>
    <xf numFmtId="0" fontId="63" fillId="5" borderId="0" xfId="7" applyFill="1" applyAlignment="1">
      <alignment horizontal="left" vertical="center" indent="4"/>
    </xf>
    <xf numFmtId="0" fontId="64" fillId="5" borderId="0" xfId="7" applyFont="1" applyFill="1" applyAlignment="1">
      <alignment horizontal="left" vertical="center" indent="16"/>
    </xf>
    <xf numFmtId="0" fontId="25" fillId="4" borderId="0" xfId="7" applyFont="1" applyFill="1" applyAlignment="1">
      <alignment horizontal="center" vertical="center"/>
    </xf>
    <xf numFmtId="0" fontId="63" fillId="10" borderId="0" xfId="7" applyFill="1" applyAlignment="1">
      <alignment vertical="center"/>
    </xf>
    <xf numFmtId="0" fontId="65" fillId="6" borderId="0" xfId="7" applyFont="1" applyFill="1"/>
    <xf numFmtId="0" fontId="63" fillId="6" borderId="0" xfId="7" applyFill="1"/>
    <xf numFmtId="0" fontId="65" fillId="15" borderId="0" xfId="7" applyFont="1" applyFill="1"/>
    <xf numFmtId="0" fontId="63" fillId="15" borderId="0" xfId="7" applyFill="1"/>
    <xf numFmtId="0" fontId="66" fillId="22" borderId="0" xfId="7" applyFont="1" applyFill="1" applyAlignment="1">
      <alignment horizontal="left" indent="1"/>
    </xf>
    <xf numFmtId="0" fontId="63" fillId="29" borderId="0" xfId="7" applyFill="1"/>
    <xf numFmtId="0" fontId="63" fillId="30" borderId="0" xfId="7" applyFill="1"/>
    <xf numFmtId="0" fontId="63" fillId="31" borderId="0" xfId="7" applyFill="1"/>
    <xf numFmtId="0" fontId="66" fillId="4" borderId="0" xfId="7" applyFont="1" applyFill="1" applyAlignment="1">
      <alignment horizontal="left" indent="1"/>
    </xf>
    <xf numFmtId="0" fontId="63" fillId="20" borderId="0" xfId="7" applyFill="1"/>
    <xf numFmtId="0" fontId="63" fillId="17" borderId="0" xfId="7" applyFill="1"/>
    <xf numFmtId="0" fontId="63" fillId="16" borderId="0" xfId="7" applyFill="1"/>
    <xf numFmtId="0" fontId="67" fillId="22" borderId="0" xfId="4" applyFont="1" applyFill="1" applyAlignment="1" applyProtection="1">
      <alignment horizontal="center"/>
    </xf>
    <xf numFmtId="0" fontId="67" fillId="29" borderId="0" xfId="7" applyFont="1" applyFill="1"/>
    <xf numFmtId="0" fontId="67" fillId="4" borderId="0" xfId="4" applyFont="1" applyFill="1" applyAlignment="1" applyProtection="1">
      <alignment horizontal="center"/>
    </xf>
    <xf numFmtId="0" fontId="67" fillId="20" borderId="0" xfId="7" applyFont="1" applyFill="1"/>
    <xf numFmtId="0" fontId="67" fillId="22" borderId="0" xfId="7" applyFont="1" applyFill="1" applyAlignment="1">
      <alignment horizontal="center"/>
    </xf>
    <xf numFmtId="0" fontId="67" fillId="4" borderId="0" xfId="7" applyFont="1" applyFill="1" applyAlignment="1">
      <alignment horizontal="center"/>
    </xf>
    <xf numFmtId="0" fontId="67" fillId="4" borderId="0" xfId="8" applyFont="1" applyFill="1" applyAlignment="1">
      <alignment horizontal="center"/>
    </xf>
    <xf numFmtId="0" fontId="67" fillId="30" borderId="0" xfId="4" applyFont="1" applyFill="1" applyAlignment="1" applyProtection="1">
      <alignment horizontal="center"/>
    </xf>
    <xf numFmtId="0" fontId="67" fillId="17" borderId="0" xfId="4" applyFont="1" applyFill="1" applyAlignment="1" applyProtection="1">
      <alignment horizontal="center"/>
    </xf>
    <xf numFmtId="0" fontId="69" fillId="22" borderId="0" xfId="8" applyFont="1" applyFill="1" applyAlignment="1"/>
    <xf numFmtId="0" fontId="69" fillId="4" borderId="0" xfId="8" applyFont="1" applyFill="1" applyAlignment="1"/>
    <xf numFmtId="0" fontId="69" fillId="20" borderId="0" xfId="7" applyFont="1" applyFill="1"/>
    <xf numFmtId="0" fontId="70" fillId="20" borderId="0" xfId="7" applyFont="1" applyFill="1" applyAlignment="1">
      <alignment horizontal="center"/>
    </xf>
    <xf numFmtId="0" fontId="67" fillId="22" borderId="0" xfId="7" applyFont="1" applyFill="1"/>
    <xf numFmtId="0" fontId="71" fillId="29" borderId="0" xfId="7" applyFont="1" applyFill="1"/>
    <xf numFmtId="0" fontId="67" fillId="4" borderId="0" xfId="7" applyFont="1" applyFill="1"/>
    <xf numFmtId="0" fontId="71" fillId="20" borderId="0" xfId="7" applyFont="1" applyFill="1"/>
    <xf numFmtId="0" fontId="67" fillId="4" borderId="0" xfId="9" applyFont="1" applyFill="1" applyAlignment="1"/>
    <xf numFmtId="0" fontId="73" fillId="4" borderId="0" xfId="4" applyFont="1" applyFill="1" applyAlignment="1" applyProtection="1">
      <alignment horizontal="left" vertical="center" indent="1"/>
    </xf>
    <xf numFmtId="0" fontId="72" fillId="20" borderId="0" xfId="4" applyFont="1" applyFill="1" applyAlignment="1" applyProtection="1">
      <alignment horizontal="center"/>
    </xf>
    <xf numFmtId="0" fontId="23" fillId="6" borderId="0" xfId="7" applyFont="1" applyFill="1"/>
    <xf numFmtId="0" fontId="23" fillId="15" borderId="0" xfId="7" applyFont="1" applyFill="1" applyAlignment="1">
      <alignment horizontal="center"/>
    </xf>
    <xf numFmtId="0" fontId="63" fillId="15" borderId="0" xfId="7" applyFill="1" applyAlignment="1">
      <alignment horizontal="center"/>
    </xf>
    <xf numFmtId="0" fontId="64" fillId="10" borderId="0" xfId="7" applyFont="1" applyFill="1"/>
    <xf numFmtId="0" fontId="74" fillId="10" borderId="0" xfId="8" applyFont="1" applyFill="1" applyAlignment="1"/>
    <xf numFmtId="0" fontId="75" fillId="10" borderId="0" xfId="9" applyFont="1" applyFill="1" applyAlignment="1"/>
    <xf numFmtId="0" fontId="68" fillId="10" borderId="0" xfId="8" applyFill="1" applyAlignment="1"/>
    <xf numFmtId="0" fontId="76" fillId="4" borderId="0" xfId="2" applyFont="1" applyFill="1" applyAlignment="1">
      <alignment horizontal="center" vertical="center" wrapText="1"/>
    </xf>
    <xf numFmtId="0" fontId="52" fillId="14" borderId="2" xfId="0" applyFont="1" applyFill="1" applyBorder="1" applyAlignment="1">
      <alignment horizontal="left" vertical="center" wrapText="1"/>
    </xf>
    <xf numFmtId="0" fontId="52" fillId="2" borderId="2" xfId="0" applyFont="1" applyFill="1" applyBorder="1" applyAlignment="1">
      <alignment horizontal="left" vertical="center" wrapText="1"/>
    </xf>
    <xf numFmtId="0" fontId="52" fillId="25" borderId="2" xfId="0" applyFont="1" applyFill="1" applyBorder="1" applyAlignment="1">
      <alignment horizontal="left" vertical="center" wrapText="1"/>
    </xf>
    <xf numFmtId="0" fontId="77" fillId="21" borderId="2" xfId="0" applyFont="1" applyFill="1" applyBorder="1" applyAlignment="1">
      <alignment horizontal="left" vertical="center" wrapText="1"/>
    </xf>
    <xf numFmtId="0" fontId="40" fillId="0" borderId="2" xfId="0" applyFont="1" applyBorder="1" applyAlignment="1">
      <alignment horizontal="center" vertical="center" wrapText="1"/>
    </xf>
    <xf numFmtId="0" fontId="51" fillId="0" borderId="3" xfId="0" applyFont="1" applyBorder="1" applyAlignment="1">
      <alignment horizontal="center" vertical="center" wrapText="1"/>
    </xf>
    <xf numFmtId="2" fontId="40" fillId="0" borderId="0" xfId="0" applyNumberFormat="1" applyFont="1" applyAlignment="1">
      <alignment horizontal="center" wrapText="1"/>
    </xf>
    <xf numFmtId="1" fontId="44" fillId="6" borderId="0" xfId="0" applyNumberFormat="1" applyFont="1" applyFill="1" applyAlignment="1">
      <alignment horizontal="center" wrapText="1"/>
    </xf>
    <xf numFmtId="1" fontId="44" fillId="13" borderId="0" xfId="0" applyNumberFormat="1" applyFont="1" applyFill="1" applyAlignment="1">
      <alignment horizontal="center" wrapText="1"/>
    </xf>
    <xf numFmtId="1" fontId="44" fillId="0" borderId="0" xfId="0" applyNumberFormat="1" applyFont="1" applyAlignment="1">
      <alignment horizontal="center" wrapText="1"/>
    </xf>
    <xf numFmtId="0" fontId="48" fillId="0" borderId="0" xfId="0" applyFont="1" applyAlignment="1">
      <alignment horizontal="left" vertical="center" indent="1"/>
    </xf>
    <xf numFmtId="0" fontId="40" fillId="19" borderId="0" xfId="0" applyFont="1" applyFill="1"/>
    <xf numFmtId="0" fontId="0" fillId="19" borderId="0" xfId="0" applyFill="1" applyAlignment="1">
      <alignment horizontal="center"/>
    </xf>
    <xf numFmtId="0" fontId="18" fillId="19" borderId="0" xfId="0" applyFont="1" applyFill="1" applyAlignment="1">
      <alignment horizontal="center" vertical="center"/>
    </xf>
    <xf numFmtId="0" fontId="40" fillId="7" borderId="5" xfId="0" quotePrefix="1" applyFont="1" applyFill="1" applyBorder="1" applyAlignment="1">
      <alignment horizontal="center" vertical="center" wrapText="1"/>
    </xf>
    <xf numFmtId="0" fontId="47" fillId="0" borderId="2" xfId="0" applyFont="1" applyBorder="1" applyAlignment="1">
      <alignment horizontal="left" vertical="top" wrapText="1" indent="1"/>
    </xf>
    <xf numFmtId="9" fontId="14" fillId="0" borderId="3" xfId="0" applyNumberFormat="1" applyFont="1" applyBorder="1" applyAlignment="1">
      <alignment horizontal="center" vertical="top"/>
    </xf>
    <xf numFmtId="0" fontId="14" fillId="0" borderId="3" xfId="0" applyFont="1" applyBorder="1" applyAlignment="1">
      <alignment horizontal="center" vertical="top"/>
    </xf>
    <xf numFmtId="0" fontId="14" fillId="10" borderId="3" xfId="0" applyFont="1" applyFill="1" applyBorder="1" applyAlignment="1">
      <alignment horizontal="left" vertical="center" indent="1"/>
    </xf>
    <xf numFmtId="0" fontId="14" fillId="10" borderId="4" xfId="0" applyFont="1" applyFill="1" applyBorder="1" applyAlignment="1">
      <alignment horizontal="left" vertical="center"/>
    </xf>
    <xf numFmtId="0" fontId="14" fillId="10" borderId="4" xfId="0" applyFont="1" applyFill="1" applyBorder="1" applyAlignment="1">
      <alignment horizontal="left" vertical="center" indent="1"/>
    </xf>
    <xf numFmtId="0" fontId="14" fillId="10" borderId="5" xfId="0" applyFont="1" applyFill="1" applyBorder="1" applyAlignment="1">
      <alignment horizontal="left" vertical="center" indent="1"/>
    </xf>
    <xf numFmtId="0" fontId="79" fillId="0" borderId="6" xfId="0" applyFont="1" applyBorder="1" applyAlignment="1">
      <alignment horizontal="left" indent="1"/>
    </xf>
    <xf numFmtId="0" fontId="79" fillId="0" borderId="11" xfId="0" applyFont="1" applyBorder="1" applyAlignment="1">
      <alignment horizontal="left" indent="1"/>
    </xf>
    <xf numFmtId="0" fontId="79" fillId="0" borderId="7" xfId="0" applyFont="1" applyBorder="1" applyAlignment="1">
      <alignment horizontal="left" indent="1"/>
    </xf>
    <xf numFmtId="0" fontId="14" fillId="0" borderId="6" xfId="0" quotePrefix="1" applyFont="1" applyBorder="1" applyAlignment="1">
      <alignment horizontal="left" vertical="top" indent="1"/>
    </xf>
    <xf numFmtId="0" fontId="14" fillId="0" borderId="11" xfId="0" quotePrefix="1" applyFont="1" applyBorder="1" applyAlignment="1">
      <alignment horizontal="left" vertical="top" indent="1"/>
    </xf>
    <xf numFmtId="0" fontId="14" fillId="0" borderId="7" xfId="0" quotePrefix="1" applyFont="1" applyBorder="1" applyAlignment="1">
      <alignment horizontal="left" vertical="top" indent="1"/>
    </xf>
    <xf numFmtId="0" fontId="47" fillId="0" borderId="6" xfId="0" applyFont="1" applyBorder="1" applyAlignment="1">
      <alignment horizontal="left" vertical="top" indent="1"/>
    </xf>
    <xf numFmtId="0" fontId="47" fillId="0" borderId="11" xfId="0" applyFont="1" applyBorder="1" applyAlignment="1">
      <alignment horizontal="left" vertical="top" indent="1"/>
    </xf>
    <xf numFmtId="0" fontId="47" fillId="0" borderId="7" xfId="0" applyFont="1" applyBorder="1" applyAlignment="1">
      <alignment horizontal="left" vertical="top" indent="1"/>
    </xf>
    <xf numFmtId="0" fontId="14" fillId="0" borderId="0" xfId="0" quotePrefix="1" applyFont="1" applyAlignment="1">
      <alignment horizontal="left" vertical="top" indent="1"/>
    </xf>
    <xf numFmtId="0" fontId="14" fillId="0" borderId="9" xfId="0" quotePrefix="1" applyFont="1" applyBorder="1" applyAlignment="1">
      <alignment horizontal="left" vertical="top" indent="1"/>
    </xf>
    <xf numFmtId="0" fontId="14" fillId="0" borderId="8" xfId="0" quotePrefix="1" applyFont="1" applyBorder="1" applyAlignment="1">
      <alignment horizontal="left" vertical="top" indent="2"/>
    </xf>
    <xf numFmtId="0" fontId="14" fillId="0" borderId="14" xfId="0" quotePrefix="1" applyFont="1" applyBorder="1" applyAlignment="1">
      <alignment horizontal="left" vertical="top" indent="1"/>
    </xf>
    <xf numFmtId="0" fontId="14" fillId="0" borderId="1" xfId="0" quotePrefix="1" applyFont="1" applyBorder="1" applyAlignment="1">
      <alignment horizontal="left" vertical="top" indent="1"/>
    </xf>
    <xf numFmtId="0" fontId="14" fillId="0" borderId="15" xfId="0" quotePrefix="1" applyFont="1" applyBorder="1" applyAlignment="1">
      <alignment horizontal="left" vertical="top" indent="1"/>
    </xf>
    <xf numFmtId="0" fontId="14" fillId="0" borderId="14" xfId="0" quotePrefix="1" applyFont="1" applyBorder="1" applyAlignment="1">
      <alignment horizontal="left" vertical="top" indent="2"/>
    </xf>
    <xf numFmtId="0" fontId="47" fillId="0" borderId="1" xfId="0" applyFont="1" applyBorder="1" applyAlignment="1">
      <alignment horizontal="left" vertical="top" indent="1"/>
    </xf>
    <xf numFmtId="0" fontId="47" fillId="0" borderId="15" xfId="0" applyFont="1" applyBorder="1" applyAlignment="1">
      <alignment horizontal="left" vertical="top" indent="1"/>
    </xf>
    <xf numFmtId="0" fontId="78" fillId="0" borderId="6" xfId="0" quotePrefix="1" applyFont="1" applyBorder="1" applyAlignment="1">
      <alignment horizontal="left" vertical="top" indent="1"/>
    </xf>
    <xf numFmtId="0" fontId="14" fillId="0" borderId="8" xfId="0" quotePrefix="1" applyFont="1" applyBorder="1" applyAlignment="1">
      <alignment horizontal="left" vertical="center" indent="1"/>
    </xf>
    <xf numFmtId="0" fontId="14" fillId="0" borderId="0" xfId="0" quotePrefix="1" applyFont="1" applyAlignment="1">
      <alignment horizontal="left" vertical="center" indent="1"/>
    </xf>
    <xf numFmtId="0" fontId="14" fillId="0" borderId="9" xfId="0" quotePrefix="1" applyFont="1" applyBorder="1" applyAlignment="1">
      <alignment horizontal="left" vertical="center" indent="1"/>
    </xf>
    <xf numFmtId="0" fontId="14" fillId="0" borderId="2" xfId="0" applyFont="1" applyBorder="1" applyAlignment="1">
      <alignment horizontal="left" vertical="top" wrapText="1" indent="1"/>
    </xf>
    <xf numFmtId="9" fontId="14" fillId="0" borderId="3" xfId="0" applyNumberFormat="1" applyFont="1" applyBorder="1" applyAlignment="1">
      <alignment horizontal="center" vertical="top" wrapText="1"/>
    </xf>
    <xf numFmtId="0" fontId="14" fillId="0" borderId="5" xfId="0" applyFont="1" applyBorder="1" applyAlignment="1">
      <alignment horizontal="left" vertical="top" wrapText="1"/>
    </xf>
    <xf numFmtId="9" fontId="47" fillId="0" borderId="3" xfId="0" applyNumberFormat="1" applyFont="1" applyBorder="1" applyAlignment="1">
      <alignment horizontal="center" vertical="top" wrapText="1"/>
    </xf>
    <xf numFmtId="0" fontId="47" fillId="0" borderId="5" xfId="0" applyFont="1" applyBorder="1" applyAlignment="1">
      <alignment horizontal="left" vertical="top" wrapText="1"/>
    </xf>
    <xf numFmtId="0" fontId="14" fillId="0" borderId="3" xfId="0" applyFont="1" applyBorder="1" applyAlignment="1">
      <alignment horizontal="center" vertical="top" wrapText="1"/>
    </xf>
    <xf numFmtId="1" fontId="47" fillId="0" borderId="3" xfId="0" applyNumberFormat="1" applyFont="1" applyBorder="1" applyAlignment="1">
      <alignment horizontal="center" vertical="top" wrapText="1"/>
    </xf>
    <xf numFmtId="0" fontId="47" fillId="0" borderId="5" xfId="0" applyFont="1" applyBorder="1" applyAlignment="1">
      <alignment horizontal="left" vertical="center" wrapText="1" indent="1"/>
    </xf>
    <xf numFmtId="0" fontId="14" fillId="0" borderId="10" xfId="0" applyFont="1" applyBorder="1" applyAlignment="1">
      <alignment horizontal="center" vertical="top"/>
    </xf>
    <xf numFmtId="0" fontId="14" fillId="0" borderId="12" xfId="0" applyFont="1" applyBorder="1" applyAlignment="1">
      <alignment vertical="top"/>
    </xf>
    <xf numFmtId="0" fontId="47" fillId="0" borderId="6" xfId="0" applyFont="1" applyBorder="1" applyAlignment="1">
      <alignment horizontal="left" vertical="top" indent="2"/>
    </xf>
    <xf numFmtId="0" fontId="79" fillId="0" borderId="6" xfId="0" applyFont="1" applyBorder="1" applyAlignment="1">
      <alignment horizontal="left" vertical="top" indent="1"/>
    </xf>
    <xf numFmtId="0" fontId="14" fillId="0" borderId="11" xfId="0" applyFont="1" applyBorder="1" applyAlignment="1">
      <alignment horizontal="left" vertical="top" wrapText="1" indent="1"/>
    </xf>
    <xf numFmtId="0" fontId="14" fillId="0" borderId="13" xfId="0" applyFont="1" applyBorder="1" applyAlignment="1">
      <alignment vertical="top"/>
    </xf>
    <xf numFmtId="0" fontId="47" fillId="0" borderId="14" xfId="0" applyFont="1" applyBorder="1" applyAlignment="1">
      <alignment horizontal="left" vertical="top" indent="2"/>
    </xf>
    <xf numFmtId="0" fontId="47" fillId="0" borderId="8" xfId="0" applyFont="1" applyBorder="1" applyAlignment="1">
      <alignment horizontal="left" vertical="center" indent="2"/>
    </xf>
    <xf numFmtId="0" fontId="47" fillId="0" borderId="14" xfId="0" applyFont="1" applyBorder="1" applyAlignment="1">
      <alignment horizontal="left" vertical="center" indent="2"/>
    </xf>
    <xf numFmtId="0" fontId="81" fillId="4" borderId="0" xfId="0" applyFont="1" applyFill="1" applyAlignment="1">
      <alignment horizontal="center" vertical="center" wrapText="1" shrinkToFit="1"/>
    </xf>
    <xf numFmtId="0" fontId="40" fillId="15" borderId="0" xfId="0" applyFont="1" applyFill="1" applyAlignment="1">
      <alignment horizontal="center" wrapText="1"/>
    </xf>
    <xf numFmtId="1" fontId="14" fillId="0" borderId="3" xfId="0" applyNumberFormat="1" applyFont="1" applyBorder="1" applyAlignment="1">
      <alignment horizontal="center" vertical="top" wrapText="1"/>
    </xf>
    <xf numFmtId="0" fontId="40" fillId="7" borderId="2" xfId="0" quotePrefix="1" applyFont="1" applyFill="1" applyBorder="1" applyAlignment="1">
      <alignment horizontal="center" vertical="center" wrapText="1"/>
    </xf>
    <xf numFmtId="0" fontId="40" fillId="7" borderId="5" xfId="0" quotePrefix="1" applyFont="1" applyFill="1" applyBorder="1" applyAlignment="1">
      <alignment horizontal="left" vertical="center" wrapText="1" indent="2"/>
    </xf>
    <xf numFmtId="0" fontId="40" fillId="7" borderId="5" xfId="0" quotePrefix="1" applyFont="1" applyFill="1" applyBorder="1" applyAlignment="1">
      <alignment horizontal="left" vertical="center" wrapText="1" indent="5"/>
    </xf>
    <xf numFmtId="0" fontId="13" fillId="0" borderId="0" xfId="0" applyFont="1" applyAlignment="1">
      <alignment horizontal="center"/>
    </xf>
    <xf numFmtId="0" fontId="13" fillId="0" borderId="0" xfId="0" applyFont="1"/>
    <xf numFmtId="0" fontId="13" fillId="7" borderId="10" xfId="0" quotePrefix="1" applyFont="1" applyFill="1" applyBorder="1" applyAlignment="1">
      <alignment horizontal="center"/>
    </xf>
    <xf numFmtId="0" fontId="13" fillId="7" borderId="12" xfId="0" applyFont="1" applyFill="1" applyBorder="1" applyAlignment="1">
      <alignment horizontal="center"/>
    </xf>
    <xf numFmtId="0" fontId="79" fillId="0" borderId="2" xfId="0" applyFont="1" applyBorder="1" applyAlignment="1">
      <alignment horizontal="left" vertical="top" wrapText="1" indent="1"/>
    </xf>
    <xf numFmtId="0" fontId="13" fillId="7" borderId="13" xfId="0" applyFont="1" applyFill="1" applyBorder="1" applyAlignment="1">
      <alignment horizontal="center"/>
    </xf>
    <xf numFmtId="0" fontId="13" fillId="0" borderId="0" xfId="0" applyFont="1" applyAlignment="1">
      <alignment horizontal="center" vertical="center"/>
    </xf>
    <xf numFmtId="0" fontId="18" fillId="0" borderId="0" xfId="0" applyFont="1" applyAlignment="1">
      <alignment horizontal="center"/>
    </xf>
    <xf numFmtId="0" fontId="83" fillId="0" borderId="0" xfId="0" applyFont="1"/>
    <xf numFmtId="0" fontId="84" fillId="4" borderId="0" xfId="2" applyFont="1" applyFill="1" applyAlignment="1">
      <alignment horizontal="center" vertical="center" wrapText="1"/>
    </xf>
    <xf numFmtId="0" fontId="18" fillId="18" borderId="0" xfId="0" applyFont="1" applyFill="1"/>
    <xf numFmtId="0" fontId="18" fillId="18" borderId="0" xfId="0" applyFont="1" applyFill="1" applyAlignment="1">
      <alignment horizontal="center"/>
    </xf>
    <xf numFmtId="0" fontId="83" fillId="18" borderId="0" xfId="0" applyFont="1" applyFill="1"/>
    <xf numFmtId="0" fontId="44" fillId="0" borderId="0" xfId="0" applyFont="1" applyAlignment="1">
      <alignment horizontal="left" vertical="center" indent="1"/>
    </xf>
    <xf numFmtId="0" fontId="44" fillId="2" borderId="10" xfId="0" applyFont="1" applyFill="1" applyBorder="1" applyAlignment="1">
      <alignment horizontal="center" vertical="center" wrapText="1"/>
    </xf>
    <xf numFmtId="0" fontId="44" fillId="2" borderId="13" xfId="0" applyFont="1" applyFill="1" applyBorder="1" applyAlignment="1">
      <alignment horizontal="center" vertical="center" wrapText="1"/>
    </xf>
    <xf numFmtId="0" fontId="44" fillId="2" borderId="3" xfId="0" applyFont="1" applyFill="1" applyBorder="1" applyAlignment="1">
      <alignment horizontal="center" vertical="center" wrapText="1"/>
    </xf>
    <xf numFmtId="0" fontId="44" fillId="2" borderId="4" xfId="0" applyFont="1" applyFill="1" applyBorder="1" applyAlignment="1">
      <alignment horizontal="center" vertical="center" wrapText="1"/>
    </xf>
    <xf numFmtId="0" fontId="44" fillId="2" borderId="4" xfId="0" applyFont="1" applyFill="1" applyBorder="1" applyAlignment="1">
      <alignment horizontal="center" vertical="center"/>
    </xf>
    <xf numFmtId="0" fontId="44" fillId="2" borderId="5" xfId="0" applyFont="1" applyFill="1" applyBorder="1" applyAlignment="1">
      <alignment horizontal="center" vertical="center" wrapText="1"/>
    </xf>
    <xf numFmtId="0" fontId="40" fillId="6" borderId="2" xfId="0" applyFont="1" applyFill="1" applyBorder="1" applyAlignment="1">
      <alignment horizontal="center" vertical="center" wrapText="1"/>
    </xf>
    <xf numFmtId="0" fontId="41" fillId="6" borderId="2" xfId="0" applyFont="1" applyFill="1" applyBorder="1" applyAlignment="1">
      <alignment horizontal="center" vertical="center" wrapText="1"/>
    </xf>
    <xf numFmtId="0" fontId="47" fillId="0" borderId="2" xfId="0" applyFont="1" applyBorder="1" applyAlignment="1">
      <alignment horizontal="left" vertical="center" wrapText="1" indent="1"/>
    </xf>
    <xf numFmtId="0" fontId="78" fillId="5" borderId="10" xfId="0" applyFont="1" applyFill="1" applyBorder="1" applyAlignment="1">
      <alignment horizontal="left" vertical="center" wrapText="1" indent="1"/>
    </xf>
    <xf numFmtId="0" fontId="78" fillId="5" borderId="2" xfId="0" applyFont="1" applyFill="1" applyBorder="1" applyAlignment="1">
      <alignment horizontal="left" vertical="center" wrapText="1" indent="1"/>
    </xf>
    <xf numFmtId="0" fontId="40" fillId="15" borderId="0" xfId="0" applyFont="1" applyFill="1" applyAlignment="1">
      <alignment horizontal="center" vertical="center" wrapText="1"/>
    </xf>
    <xf numFmtId="0" fontId="40" fillId="11" borderId="0" xfId="0" applyFont="1" applyFill="1" applyAlignment="1">
      <alignment horizontal="center" vertical="center" wrapText="1"/>
    </xf>
    <xf numFmtId="0" fontId="44" fillId="7" borderId="1" xfId="0" applyFont="1" applyFill="1" applyBorder="1" applyAlignment="1">
      <alignment horizontal="left" vertical="top" wrapText="1" indent="1"/>
    </xf>
    <xf numFmtId="0" fontId="40" fillId="0" borderId="2" xfId="0" applyFont="1" applyBorder="1" applyAlignment="1">
      <alignment horizontal="center" vertical="center"/>
    </xf>
    <xf numFmtId="0" fontId="40" fillId="6" borderId="10" xfId="0" applyFont="1" applyFill="1" applyBorder="1" applyAlignment="1">
      <alignment horizontal="center" vertical="center" wrapText="1"/>
    </xf>
    <xf numFmtId="0" fontId="40" fillId="6" borderId="13" xfId="0" applyFont="1" applyFill="1" applyBorder="1" applyAlignment="1">
      <alignment horizontal="center" vertical="center" wrapText="1"/>
    </xf>
    <xf numFmtId="0" fontId="90" fillId="0" borderId="2" xfId="0" applyFont="1" applyBorder="1" applyAlignment="1">
      <alignment horizontal="left" vertical="center" indent="1"/>
    </xf>
    <xf numFmtId="0" fontId="90" fillId="0" borderId="2" xfId="0" applyFont="1" applyBorder="1" applyAlignment="1">
      <alignment horizontal="left" vertical="center"/>
    </xf>
    <xf numFmtId="0" fontId="86" fillId="34" borderId="10" xfId="0" applyFont="1" applyFill="1" applyBorder="1" applyAlignment="1">
      <alignment horizontal="center" vertical="center" wrapText="1"/>
    </xf>
    <xf numFmtId="0" fontId="16" fillId="24" borderId="5" xfId="0" applyFont="1" applyFill="1" applyBorder="1" applyAlignment="1">
      <alignment horizontal="center" vertical="center" wrapText="1"/>
    </xf>
    <xf numFmtId="0" fontId="16" fillId="11" borderId="2" xfId="0" applyFont="1" applyFill="1" applyBorder="1" applyAlignment="1">
      <alignment horizontal="center" vertical="center" wrapText="1"/>
    </xf>
    <xf numFmtId="0" fontId="86" fillId="34" borderId="24" xfId="0" applyFont="1" applyFill="1" applyBorder="1" applyAlignment="1">
      <alignment horizontal="center" vertical="center" wrapText="1"/>
    </xf>
    <xf numFmtId="0" fontId="16" fillId="24" borderId="2" xfId="0" applyFont="1" applyFill="1" applyBorder="1" applyAlignment="1">
      <alignment horizontal="center" vertical="center" wrapText="1"/>
    </xf>
    <xf numFmtId="0" fontId="86" fillId="32" borderId="13" xfId="0" applyFont="1" applyFill="1" applyBorder="1" applyAlignment="1">
      <alignment horizontal="center" vertical="center" wrapText="1"/>
    </xf>
    <xf numFmtId="0" fontId="16" fillId="26" borderId="5" xfId="0" applyFont="1" applyFill="1" applyBorder="1" applyAlignment="1">
      <alignment horizontal="center" vertical="center" wrapText="1"/>
    </xf>
    <xf numFmtId="0" fontId="16" fillId="26" borderId="2" xfId="0" applyFont="1" applyFill="1" applyBorder="1" applyAlignment="1">
      <alignment horizontal="center" vertical="center" wrapText="1"/>
    </xf>
    <xf numFmtId="0" fontId="25" fillId="32" borderId="0" xfId="6" applyFont="1" applyFill="1" applyAlignment="1">
      <alignment horizontal="center" vertical="center" wrapText="1"/>
    </xf>
    <xf numFmtId="0" fontId="44" fillId="0" borderId="0" xfId="0" applyFont="1" applyAlignment="1">
      <alignment horizontal="left" indent="1"/>
    </xf>
    <xf numFmtId="0" fontId="92" fillId="0" borderId="0" xfId="0" applyFont="1" applyAlignment="1">
      <alignment horizontal="left" indent="1"/>
    </xf>
    <xf numFmtId="0" fontId="16" fillId="7" borderId="2" xfId="0" applyFont="1" applyFill="1" applyBorder="1" applyAlignment="1">
      <alignment horizontal="center" vertical="center"/>
    </xf>
    <xf numFmtId="0" fontId="0" fillId="7" borderId="6" xfId="0" applyFill="1" applyBorder="1"/>
    <xf numFmtId="0" fontId="0" fillId="7" borderId="7" xfId="0" applyFill="1" applyBorder="1"/>
    <xf numFmtId="0" fontId="0" fillId="7" borderId="8" xfId="0" applyFill="1" applyBorder="1"/>
    <xf numFmtId="0" fontId="0" fillId="7" borderId="9" xfId="0" applyFill="1" applyBorder="1"/>
    <xf numFmtId="0" fontId="0" fillId="7" borderId="14" xfId="0" applyFill="1" applyBorder="1"/>
    <xf numFmtId="0" fontId="0" fillId="7" borderId="15" xfId="0" applyFill="1" applyBorder="1"/>
    <xf numFmtId="0" fontId="40" fillId="7" borderId="6" xfId="0" applyFont="1" applyFill="1" applyBorder="1" applyAlignment="1">
      <alignment horizontal="left" vertical="center" indent="1"/>
    </xf>
    <xf numFmtId="0" fontId="40" fillId="7" borderId="11" xfId="0" applyFont="1" applyFill="1" applyBorder="1" applyAlignment="1">
      <alignment horizontal="left" vertical="center" indent="1"/>
    </xf>
    <xf numFmtId="0" fontId="40" fillId="7" borderId="7" xfId="0" applyFont="1" applyFill="1" applyBorder="1" applyAlignment="1">
      <alignment horizontal="left" vertical="center" indent="1"/>
    </xf>
    <xf numFmtId="0" fontId="40" fillId="7" borderId="11" xfId="0" applyFont="1" applyFill="1" applyBorder="1" applyAlignment="1">
      <alignment horizontal="left" vertical="top" wrapText="1" indent="1"/>
    </xf>
    <xf numFmtId="0" fontId="40" fillId="7" borderId="7" xfId="0" applyFont="1" applyFill="1" applyBorder="1" applyAlignment="1">
      <alignment horizontal="left" vertical="top" wrapText="1" indent="1"/>
    </xf>
    <xf numFmtId="0" fontId="40" fillId="7" borderId="0" xfId="0" applyFont="1" applyFill="1" applyAlignment="1">
      <alignment horizontal="left" vertical="top" wrapText="1" indent="1"/>
    </xf>
    <xf numFmtId="0" fontId="40" fillId="7" borderId="9" xfId="0" applyFont="1" applyFill="1" applyBorder="1" applyAlignment="1">
      <alignment horizontal="left" vertical="top" wrapText="1" indent="1"/>
    </xf>
    <xf numFmtId="0" fontId="40" fillId="35" borderId="0" xfId="0" applyFont="1" applyFill="1" applyAlignment="1">
      <alignment horizontal="center" vertical="top" wrapText="1"/>
    </xf>
    <xf numFmtId="0" fontId="87" fillId="4" borderId="0" xfId="0" applyFont="1" applyFill="1" applyAlignment="1">
      <alignment horizontal="center"/>
    </xf>
    <xf numFmtId="0" fontId="40" fillId="4" borderId="0" xfId="0" applyFont="1" applyFill="1"/>
    <xf numFmtId="0" fontId="87" fillId="4" borderId="0" xfId="0" applyFont="1" applyFill="1" applyAlignment="1">
      <alignment horizontal="center" vertical="center"/>
    </xf>
    <xf numFmtId="0" fontId="40" fillId="13" borderId="0" xfId="0" applyFont="1" applyFill="1" applyAlignment="1">
      <alignment horizontal="center" vertical="top" wrapText="1"/>
    </xf>
    <xf numFmtId="0" fontId="40" fillId="6" borderId="0" xfId="0" applyFont="1" applyFill="1" applyAlignment="1">
      <alignment horizontal="center" vertical="top" wrapText="1"/>
    </xf>
    <xf numFmtId="0" fontId="40" fillId="5" borderId="0" xfId="0" applyFont="1" applyFill="1" applyAlignment="1">
      <alignment horizontal="center" vertical="top" wrapText="1"/>
    </xf>
    <xf numFmtId="0" fontId="87" fillId="33" borderId="0" xfId="0" applyFont="1" applyFill="1" applyAlignment="1">
      <alignment horizontal="center" vertical="center" wrapText="1"/>
    </xf>
    <xf numFmtId="0" fontId="47" fillId="0" borderId="2" xfId="0" quotePrefix="1" applyFont="1" applyBorder="1" applyAlignment="1">
      <alignment horizontal="center" vertical="center" wrapText="1"/>
    </xf>
    <xf numFmtId="0" fontId="9" fillId="0" borderId="13" xfId="0" applyFont="1" applyBorder="1" applyAlignment="1">
      <alignment horizontal="left" vertical="top" wrapText="1" indent="1"/>
    </xf>
    <xf numFmtId="0" fontId="10" fillId="0" borderId="13" xfId="0" applyFont="1" applyBorder="1" applyAlignment="1">
      <alignment horizontal="left" vertical="top" wrapText="1" indent="1"/>
    </xf>
    <xf numFmtId="0" fontId="44" fillId="6" borderId="0" xfId="0" applyFont="1" applyFill="1" applyAlignment="1">
      <alignment horizontal="center" vertical="top" wrapText="1"/>
    </xf>
    <xf numFmtId="0" fontId="44" fillId="13" borderId="0" xfId="0" applyFont="1" applyFill="1" applyAlignment="1">
      <alignment horizontal="center" vertical="top" wrapText="1"/>
    </xf>
    <xf numFmtId="0" fontId="40" fillId="0" borderId="1" xfId="0" applyFont="1" applyBorder="1" applyAlignment="1">
      <alignment vertical="top" wrapText="1"/>
    </xf>
    <xf numFmtId="0" fontId="95" fillId="18" borderId="0" xfId="0" applyFont="1" applyFill="1"/>
    <xf numFmtId="0" fontId="8" fillId="0" borderId="0" xfId="0" applyFont="1" applyAlignment="1">
      <alignment horizontal="center" vertical="center"/>
    </xf>
    <xf numFmtId="0" fontId="96" fillId="32" borderId="0" xfId="2" applyFont="1" applyFill="1" applyAlignment="1">
      <alignment horizontal="center" vertical="center" wrapText="1"/>
    </xf>
    <xf numFmtId="0" fontId="76" fillId="32" borderId="0" xfId="2" applyFont="1" applyFill="1" applyAlignment="1">
      <alignment horizontal="center" vertical="center" wrapText="1"/>
    </xf>
    <xf numFmtId="0" fontId="8" fillId="7" borderId="10" xfId="0" quotePrefix="1" applyFont="1" applyFill="1" applyBorder="1" applyAlignment="1">
      <alignment horizontal="center"/>
    </xf>
    <xf numFmtId="0" fontId="44" fillId="0" borderId="0" xfId="0" applyFont="1" applyAlignment="1">
      <alignment horizontal="center"/>
    </xf>
    <xf numFmtId="0" fontId="8" fillId="0" borderId="0" xfId="0" applyFont="1" applyAlignment="1">
      <alignment horizontal="center"/>
    </xf>
    <xf numFmtId="0" fontId="44" fillId="19" borderId="0" xfId="0" applyFont="1" applyFill="1"/>
    <xf numFmtId="0" fontId="97" fillId="10" borderId="2" xfId="0" applyFont="1" applyFill="1" applyBorder="1" applyAlignment="1">
      <alignment horizontal="left" vertical="top" indent="1"/>
    </xf>
    <xf numFmtId="0" fontId="44" fillId="10" borderId="2" xfId="0" applyFont="1" applyFill="1" applyBorder="1" applyAlignment="1">
      <alignment horizontal="left" vertical="top" wrapText="1" indent="1"/>
    </xf>
    <xf numFmtId="0" fontId="44" fillId="0" borderId="0" xfId="0" applyFont="1"/>
    <xf numFmtId="0" fontId="44" fillId="10" borderId="2" xfId="0" applyFont="1" applyFill="1" applyBorder="1" applyAlignment="1">
      <alignment horizontal="center" vertical="center"/>
    </xf>
    <xf numFmtId="0" fontId="44" fillId="10" borderId="3" xfId="0" applyFont="1" applyFill="1" applyBorder="1" applyAlignment="1">
      <alignment horizontal="left" vertical="center" indent="1"/>
    </xf>
    <xf numFmtId="0" fontId="40" fillId="6" borderId="3" xfId="0" applyFont="1" applyFill="1" applyBorder="1" applyAlignment="1">
      <alignment horizontal="center" vertical="center" wrapText="1"/>
    </xf>
    <xf numFmtId="0" fontId="40" fillId="6" borderId="4" xfId="0" applyFont="1" applyFill="1" applyBorder="1" applyAlignment="1">
      <alignment horizontal="center" vertical="center" wrapText="1"/>
    </xf>
    <xf numFmtId="0" fontId="40" fillId="6" borderId="5" xfId="0" applyFont="1" applyFill="1" applyBorder="1" applyAlignment="1">
      <alignment horizontal="left" vertical="center" wrapText="1"/>
    </xf>
    <xf numFmtId="0" fontId="40" fillId="6" borderId="5" xfId="0" quotePrefix="1" applyFont="1" applyFill="1" applyBorder="1" applyAlignment="1">
      <alignment horizontal="left" vertical="center" wrapText="1"/>
    </xf>
    <xf numFmtId="0" fontId="44" fillId="10" borderId="4" xfId="0" applyFont="1" applyFill="1" applyBorder="1" applyAlignment="1">
      <alignment horizontal="center" vertical="center"/>
    </xf>
    <xf numFmtId="0" fontId="40" fillId="6" borderId="5" xfId="0" applyFont="1" applyFill="1" applyBorder="1" applyAlignment="1">
      <alignment horizontal="center" vertical="center" wrapText="1"/>
    </xf>
    <xf numFmtId="0" fontId="44" fillId="6" borderId="3" xfId="0" applyFont="1" applyFill="1" applyBorder="1" applyAlignment="1">
      <alignment horizontal="left" vertical="center" indent="1"/>
    </xf>
    <xf numFmtId="0" fontId="44" fillId="6" borderId="4" xfId="0" applyFont="1" applyFill="1" applyBorder="1" applyAlignment="1">
      <alignment horizontal="left" vertical="center" indent="1"/>
    </xf>
    <xf numFmtId="0" fontId="44" fillId="6" borderId="5" xfId="0" applyFont="1" applyFill="1" applyBorder="1" applyAlignment="1">
      <alignment horizontal="left" vertical="center" indent="1"/>
    </xf>
    <xf numFmtId="0" fontId="44" fillId="6" borderId="2" xfId="0" applyFont="1" applyFill="1" applyBorder="1" applyAlignment="1">
      <alignment horizontal="center"/>
    </xf>
    <xf numFmtId="0" fontId="40" fillId="5" borderId="2" xfId="0" quotePrefix="1" applyFont="1" applyFill="1" applyBorder="1" applyAlignment="1">
      <alignment horizontal="left" vertical="top" wrapText="1" indent="1"/>
    </xf>
    <xf numFmtId="0" fontId="44" fillId="10" borderId="2" xfId="0" quotePrefix="1" applyFont="1" applyFill="1" applyBorder="1" applyAlignment="1">
      <alignment horizontal="left" vertical="top" wrapText="1" indent="1"/>
    </xf>
    <xf numFmtId="0" fontId="18" fillId="5" borderId="0" xfId="0" applyFont="1" applyFill="1" applyAlignment="1">
      <alignment horizontal="left" vertical="top" indent="1"/>
    </xf>
    <xf numFmtId="0" fontId="40" fillId="5" borderId="0" xfId="0" quotePrefix="1" applyFont="1" applyFill="1" applyAlignment="1">
      <alignment horizontal="left" vertical="top" wrapText="1" indent="1"/>
    </xf>
    <xf numFmtId="0" fontId="97" fillId="13" borderId="2" xfId="0" applyFont="1" applyFill="1" applyBorder="1" applyAlignment="1">
      <alignment horizontal="center"/>
    </xf>
    <xf numFmtId="0" fontId="44" fillId="13" borderId="2" xfId="0" applyFont="1" applyFill="1" applyBorder="1" applyAlignment="1">
      <alignment horizontal="center"/>
    </xf>
    <xf numFmtId="0" fontId="97" fillId="6" borderId="2" xfId="0" applyFont="1" applyFill="1" applyBorder="1" applyAlignment="1">
      <alignment horizontal="center"/>
    </xf>
    <xf numFmtId="0" fontId="98" fillId="7" borderId="0" xfId="0" applyFont="1" applyFill="1" applyAlignment="1">
      <alignment horizontal="left" vertical="center" indent="1"/>
    </xf>
    <xf numFmtId="0" fontId="76" fillId="19" borderId="0" xfId="0" applyFont="1" applyFill="1"/>
    <xf numFmtId="0" fontId="97" fillId="10" borderId="2" xfId="0" applyFont="1" applyFill="1" applyBorder="1" applyAlignment="1">
      <alignment horizontal="left" vertical="top" wrapText="1" indent="1"/>
    </xf>
    <xf numFmtId="0" fontId="40" fillId="19" borderId="12" xfId="0" applyFont="1" applyFill="1" applyBorder="1"/>
    <xf numFmtId="0" fontId="0" fillId="10" borderId="8" xfId="0" applyFill="1" applyBorder="1" applyAlignment="1">
      <alignment horizontal="left" indent="1"/>
    </xf>
    <xf numFmtId="0" fontId="0" fillId="10" borderId="9" xfId="0" applyFill="1" applyBorder="1" applyAlignment="1">
      <alignment horizontal="left" indent="1"/>
    </xf>
    <xf numFmtId="0" fontId="0" fillId="10" borderId="15" xfId="0" applyFill="1" applyBorder="1" applyAlignment="1">
      <alignment horizontal="left" indent="1"/>
    </xf>
    <xf numFmtId="0" fontId="0" fillId="13" borderId="2" xfId="0" applyFill="1" applyBorder="1" applyAlignment="1">
      <alignment horizontal="center" vertical="center"/>
    </xf>
    <xf numFmtId="0" fontId="86" fillId="32" borderId="6" xfId="0" applyFont="1" applyFill="1" applyBorder="1" applyAlignment="1">
      <alignment horizontal="left" vertical="center" indent="2"/>
    </xf>
    <xf numFmtId="0" fontId="85" fillId="32" borderId="7" xfId="0" applyFont="1" applyFill="1" applyBorder="1" applyAlignment="1">
      <alignment horizontal="left" indent="1"/>
    </xf>
    <xf numFmtId="0" fontId="0" fillId="27" borderId="8" xfId="0" applyFill="1" applyBorder="1" applyAlignment="1">
      <alignment horizontal="center" wrapText="1"/>
    </xf>
    <xf numFmtId="0" fontId="0" fillId="27" borderId="9" xfId="0" applyFill="1" applyBorder="1" applyAlignment="1">
      <alignment horizontal="center"/>
    </xf>
    <xf numFmtId="0" fontId="0" fillId="7" borderId="2" xfId="0" applyFill="1" applyBorder="1" applyAlignment="1">
      <alignment horizontal="left" vertical="center" wrapText="1" indent="2"/>
    </xf>
    <xf numFmtId="0" fontId="0" fillId="0" borderId="9" xfId="0" applyBorder="1" applyAlignment="1">
      <alignment horizontal="left" vertical="center" wrapText="1" indent="2"/>
    </xf>
    <xf numFmtId="0" fontId="0" fillId="13" borderId="5" xfId="0" applyFill="1" applyBorder="1" applyAlignment="1">
      <alignment horizontal="left" vertical="center" wrapText="1" indent="2"/>
    </xf>
    <xf numFmtId="0" fontId="0" fillId="13" borderId="2" xfId="0" applyFill="1" applyBorder="1" applyAlignment="1">
      <alignment horizontal="left" vertical="center" wrapText="1" indent="2"/>
    </xf>
    <xf numFmtId="0" fontId="40" fillId="15" borderId="2" xfId="0" applyFont="1" applyFill="1" applyBorder="1" applyAlignment="1">
      <alignment horizontal="center" vertical="center" wrapText="1"/>
    </xf>
    <xf numFmtId="0" fontId="40" fillId="11" borderId="2" xfId="0" applyFont="1" applyFill="1" applyBorder="1" applyAlignment="1">
      <alignment horizontal="center" vertical="center" wrapText="1"/>
    </xf>
    <xf numFmtId="0" fontId="87" fillId="33" borderId="2" xfId="0" applyFont="1" applyFill="1" applyBorder="1" applyAlignment="1">
      <alignment horizontal="center" vertical="center" wrapText="1"/>
    </xf>
    <xf numFmtId="0" fontId="40" fillId="6" borderId="2" xfId="0" quotePrefix="1" applyFont="1" applyFill="1" applyBorder="1" applyAlignment="1">
      <alignment horizontal="left" vertical="top" wrapText="1" indent="2"/>
    </xf>
    <xf numFmtId="0" fontId="40" fillId="0" borderId="2" xfId="0" applyFont="1" applyBorder="1" applyAlignment="1">
      <alignment horizontal="left" vertical="top" wrapText="1" indent="2"/>
    </xf>
    <xf numFmtId="0" fontId="40" fillId="6" borderId="2" xfId="0" applyFont="1" applyFill="1" applyBorder="1" applyAlignment="1">
      <alignment horizontal="left" vertical="top" wrapText="1" indent="2"/>
    </xf>
    <xf numFmtId="0" fontId="40" fillId="35" borderId="2" xfId="0" applyFont="1" applyFill="1" applyBorder="1" applyAlignment="1">
      <alignment horizontal="left" vertical="top" wrapText="1" indent="2"/>
    </xf>
    <xf numFmtId="0" fontId="40" fillId="13" borderId="2" xfId="0" applyFont="1" applyFill="1" applyBorder="1" applyAlignment="1">
      <alignment horizontal="left" vertical="top" wrapText="1" indent="2"/>
    </xf>
    <xf numFmtId="0" fontId="40" fillId="35" borderId="2" xfId="0" quotePrefix="1" applyFont="1" applyFill="1" applyBorder="1" applyAlignment="1">
      <alignment horizontal="left" vertical="top" wrapText="1" indent="2"/>
    </xf>
    <xf numFmtId="0" fontId="40" fillId="5" borderId="2" xfId="0" applyFont="1" applyFill="1" applyBorder="1" applyAlignment="1">
      <alignment horizontal="left" vertical="top" wrapText="1" indent="2"/>
    </xf>
    <xf numFmtId="0" fontId="40" fillId="0" borderId="2" xfId="0" applyFont="1" applyBorder="1" applyAlignment="1">
      <alignment horizontal="left" vertical="center" wrapText="1" indent="2"/>
    </xf>
    <xf numFmtId="0" fontId="40" fillId="0" borderId="2" xfId="0" applyFont="1" applyBorder="1" applyAlignment="1">
      <alignment horizontal="center" wrapText="1"/>
    </xf>
    <xf numFmtId="0" fontId="40" fillId="15" borderId="2" xfId="0" applyFont="1" applyFill="1" applyBorder="1" applyAlignment="1">
      <alignment horizontal="center" wrapText="1"/>
    </xf>
    <xf numFmtId="1" fontId="44" fillId="6" borderId="2" xfId="0" applyNumberFormat="1" applyFont="1" applyFill="1" applyBorder="1" applyAlignment="1">
      <alignment horizontal="center" wrapText="1"/>
    </xf>
    <xf numFmtId="1" fontId="44" fillId="13" borderId="2" xfId="0" applyNumberFormat="1" applyFont="1" applyFill="1" applyBorder="1" applyAlignment="1">
      <alignment horizontal="center" wrapText="1"/>
    </xf>
    <xf numFmtId="1" fontId="44" fillId="0" borderId="2" xfId="0" applyNumberFormat="1" applyFont="1" applyBorder="1" applyAlignment="1">
      <alignment horizontal="center" wrapText="1"/>
    </xf>
    <xf numFmtId="0" fontId="101" fillId="13" borderId="2" xfId="0" applyFont="1" applyFill="1" applyBorder="1" applyAlignment="1">
      <alignment horizontal="center" wrapText="1"/>
    </xf>
    <xf numFmtId="0" fontId="101" fillId="36" borderId="2" xfId="0" applyFont="1" applyFill="1" applyBorder="1" applyAlignment="1">
      <alignment horizontal="center" wrapText="1"/>
    </xf>
    <xf numFmtId="0" fontId="102" fillId="4" borderId="2" xfId="0" applyFont="1" applyFill="1" applyBorder="1" applyAlignment="1">
      <alignment horizontal="center"/>
    </xf>
    <xf numFmtId="0" fontId="102" fillId="32" borderId="2" xfId="0" applyFont="1" applyFill="1" applyBorder="1" applyAlignment="1">
      <alignment horizontal="center"/>
    </xf>
    <xf numFmtId="0" fontId="64" fillId="13" borderId="0" xfId="7" applyFont="1" applyFill="1" applyAlignment="1">
      <alignment horizontal="center" vertical="center"/>
    </xf>
    <xf numFmtId="0" fontId="6" fillId="0" borderId="0" xfId="0" applyFont="1"/>
    <xf numFmtId="0" fontId="6" fillId="0" borderId="0" xfId="0" applyFont="1" applyAlignment="1">
      <alignment horizontal="center"/>
    </xf>
    <xf numFmtId="0" fontId="44" fillId="0" borderId="1" xfId="0" applyFont="1" applyBorder="1" applyAlignment="1">
      <alignment vertical="top"/>
    </xf>
    <xf numFmtId="0" fontId="44" fillId="18" borderId="0" xfId="0" applyFont="1" applyFill="1"/>
    <xf numFmtId="0" fontId="18" fillId="0" borderId="0" xfId="0" applyFont="1" applyAlignment="1">
      <alignment horizontal="left" vertical="top" indent="1"/>
    </xf>
    <xf numFmtId="0" fontId="18" fillId="5" borderId="2" xfId="0" applyFont="1" applyFill="1" applyBorder="1" applyAlignment="1">
      <alignment horizontal="left" vertical="top" indent="1"/>
    </xf>
    <xf numFmtId="0" fontId="104" fillId="32" borderId="0" xfId="7" applyFont="1" applyFill="1" applyAlignment="1">
      <alignment horizontal="left" vertical="center" indent="7"/>
    </xf>
    <xf numFmtId="0" fontId="105" fillId="32" borderId="0" xfId="7" applyFont="1" applyFill="1" applyAlignment="1">
      <alignment horizontal="left" vertical="center" indent="6"/>
    </xf>
    <xf numFmtId="0" fontId="0" fillId="37" borderId="0" xfId="0" applyFill="1" applyAlignment="1">
      <alignment horizontal="left" indent="1"/>
    </xf>
    <xf numFmtId="0" fontId="0" fillId="37" borderId="0" xfId="0" applyFill="1" applyAlignment="1">
      <alignment horizontal="center"/>
    </xf>
    <xf numFmtId="0" fontId="0" fillId="37" borderId="0" xfId="0" applyFill="1"/>
    <xf numFmtId="0" fontId="0" fillId="37" borderId="0" xfId="0" applyFill="1" applyAlignment="1">
      <alignment horizontal="center" vertical="center" wrapText="1"/>
    </xf>
    <xf numFmtId="0" fontId="0" fillId="37" borderId="0" xfId="0" applyFill="1" applyAlignment="1">
      <alignment horizontal="center" vertical="center"/>
    </xf>
    <xf numFmtId="0" fontId="0" fillId="37" borderId="0" xfId="0" applyFill="1" applyAlignment="1">
      <alignment horizontal="center" wrapText="1"/>
    </xf>
    <xf numFmtId="0" fontId="0" fillId="37" borderId="0" xfId="0" applyFill="1" applyAlignment="1">
      <alignment wrapText="1"/>
    </xf>
    <xf numFmtId="0" fontId="0" fillId="37" borderId="0" xfId="0" applyFill="1" applyAlignment="1">
      <alignment horizontal="center" vertical="top" wrapText="1"/>
    </xf>
    <xf numFmtId="0" fontId="0" fillId="37" borderId="0" xfId="0" applyFill="1" applyAlignment="1">
      <alignment vertical="top" wrapText="1"/>
    </xf>
    <xf numFmtId="0" fontId="82" fillId="10" borderId="3" xfId="0" applyFont="1" applyFill="1" applyBorder="1" applyAlignment="1">
      <alignment horizontal="left" vertical="top" indent="1"/>
    </xf>
    <xf numFmtId="0" fontId="47" fillId="10" borderId="4" xfId="0" applyFont="1" applyFill="1" applyBorder="1" applyAlignment="1">
      <alignment horizontal="left" vertical="top" indent="1"/>
    </xf>
    <xf numFmtId="0" fontId="47" fillId="10" borderId="4" xfId="0" applyFont="1" applyFill="1" applyBorder="1" applyAlignment="1">
      <alignment horizontal="left" vertical="top"/>
    </xf>
    <xf numFmtId="0" fontId="47" fillId="10" borderId="5" xfId="0" applyFont="1" applyFill="1" applyBorder="1" applyAlignment="1">
      <alignment horizontal="left" vertical="top"/>
    </xf>
    <xf numFmtId="0" fontId="47" fillId="10" borderId="11" xfId="0" applyFont="1" applyFill="1" applyBorder="1" applyAlignment="1">
      <alignment horizontal="left" vertical="top" indent="1"/>
    </xf>
    <xf numFmtId="0" fontId="47" fillId="10" borderId="7" xfId="0" applyFont="1" applyFill="1" applyBorder="1" applyAlignment="1">
      <alignment horizontal="left" vertical="top" indent="1"/>
    </xf>
    <xf numFmtId="0" fontId="82" fillId="10" borderId="6" xfId="0" applyFont="1" applyFill="1" applyBorder="1" applyAlignment="1">
      <alignment horizontal="left" vertical="top" indent="1"/>
    </xf>
    <xf numFmtId="0" fontId="47" fillId="10" borderId="5" xfId="0" applyFont="1" applyFill="1" applyBorder="1" applyAlignment="1">
      <alignment horizontal="left" vertical="top" indent="1"/>
    </xf>
    <xf numFmtId="0" fontId="40" fillId="9" borderId="2" xfId="0" applyFont="1" applyFill="1" applyBorder="1" applyAlignment="1">
      <alignment horizontal="center" vertical="center"/>
    </xf>
    <xf numFmtId="0" fontId="82" fillId="9" borderId="3" xfId="0" applyFont="1" applyFill="1" applyBorder="1" applyAlignment="1">
      <alignment horizontal="left" vertical="top" indent="1"/>
    </xf>
    <xf numFmtId="0" fontId="47" fillId="9" borderId="4" xfId="0" applyFont="1" applyFill="1" applyBorder="1" applyAlignment="1">
      <alignment horizontal="left" vertical="top" indent="1"/>
    </xf>
    <xf numFmtId="0" fontId="47" fillId="9" borderId="4" xfId="0" applyFont="1" applyFill="1" applyBorder="1" applyAlignment="1">
      <alignment horizontal="left" vertical="top"/>
    </xf>
    <xf numFmtId="0" fontId="47" fillId="9" borderId="5" xfId="0" applyFont="1" applyFill="1" applyBorder="1" applyAlignment="1">
      <alignment horizontal="left" vertical="top"/>
    </xf>
    <xf numFmtId="0" fontId="40" fillId="9" borderId="0" xfId="0" applyFont="1" applyFill="1" applyAlignment="1">
      <alignment vertical="top" wrapText="1"/>
    </xf>
    <xf numFmtId="0" fontId="47" fillId="9" borderId="7" xfId="0" applyFont="1" applyFill="1" applyBorder="1" applyAlignment="1">
      <alignment horizontal="left" vertical="top" indent="1"/>
    </xf>
    <xf numFmtId="0" fontId="82" fillId="9" borderId="6" xfId="0" applyFont="1" applyFill="1" applyBorder="1" applyAlignment="1">
      <alignment horizontal="left" vertical="top" indent="1"/>
    </xf>
    <xf numFmtId="0" fontId="47" fillId="9" borderId="11" xfId="0" applyFont="1" applyFill="1" applyBorder="1" applyAlignment="1">
      <alignment horizontal="left" vertical="top" indent="1"/>
    </xf>
    <xf numFmtId="0" fontId="47" fillId="9" borderId="5" xfId="0" applyFont="1" applyFill="1" applyBorder="1" applyAlignment="1">
      <alignment horizontal="left" vertical="top" indent="1"/>
    </xf>
    <xf numFmtId="0" fontId="40" fillId="9" borderId="11" xfId="0" applyFont="1" applyFill="1" applyBorder="1" applyAlignment="1">
      <alignment vertical="top" wrapText="1"/>
    </xf>
    <xf numFmtId="0" fontId="48" fillId="0" borderId="0" xfId="0" applyFont="1" applyAlignment="1">
      <alignment horizontal="center" vertical="top" wrapText="1"/>
    </xf>
    <xf numFmtId="0" fontId="48" fillId="0" borderId="0" xfId="0" applyFont="1" applyAlignment="1">
      <alignment vertical="top" wrapText="1"/>
    </xf>
    <xf numFmtId="0" fontId="48" fillId="0" borderId="0" xfId="0" applyFont="1" applyAlignment="1">
      <alignment horizontal="center" wrapText="1"/>
    </xf>
    <xf numFmtId="0" fontId="18" fillId="10" borderId="2" xfId="0" applyFont="1" applyFill="1" applyBorder="1" applyAlignment="1">
      <alignment horizontal="left" vertical="top" indent="1"/>
    </xf>
    <xf numFmtId="0" fontId="106" fillId="5" borderId="0" xfId="5" applyFont="1" applyFill="1" applyAlignment="1">
      <alignment vertical="center"/>
    </xf>
    <xf numFmtId="0" fontId="107" fillId="5" borderId="0" xfId="5" applyFont="1" applyFill="1" applyAlignment="1">
      <alignment vertical="center"/>
    </xf>
    <xf numFmtId="0" fontId="4" fillId="5" borderId="2" xfId="0" applyFont="1" applyFill="1" applyBorder="1" applyAlignment="1">
      <alignment horizontal="left" vertical="center" wrapText="1" indent="1"/>
    </xf>
    <xf numFmtId="0" fontId="47" fillId="0" borderId="2" xfId="0" applyFont="1" applyBorder="1" applyAlignment="1">
      <alignment horizontal="left" vertical="center" wrapText="1"/>
    </xf>
    <xf numFmtId="0" fontId="18" fillId="15" borderId="2" xfId="0" applyFont="1" applyFill="1" applyBorder="1" applyAlignment="1">
      <alignment horizontal="left" vertical="top" indent="1"/>
    </xf>
    <xf numFmtId="0" fontId="40" fillId="10" borderId="2" xfId="0" quotePrefix="1" applyFont="1" applyFill="1" applyBorder="1" applyAlignment="1">
      <alignment horizontal="left" vertical="top" wrapText="1" indent="1"/>
    </xf>
    <xf numFmtId="0" fontId="14" fillId="0" borderId="12" xfId="0" applyFont="1" applyBorder="1" applyAlignment="1">
      <alignment horizontal="left" vertical="top" indent="1"/>
    </xf>
    <xf numFmtId="0" fontId="14" fillId="0" borderId="13" xfId="0" applyFont="1" applyBorder="1" applyAlignment="1">
      <alignment horizontal="left" vertical="top" indent="1"/>
    </xf>
    <xf numFmtId="0" fontId="14" fillId="0" borderId="2" xfId="0" applyFont="1" applyBorder="1" applyAlignment="1">
      <alignment horizontal="left" vertical="top" indent="1"/>
    </xf>
    <xf numFmtId="0" fontId="40" fillId="0" borderId="2" xfId="0" applyFont="1" applyBorder="1" applyAlignment="1">
      <alignment horizontal="left" vertical="top" wrapText="1" indent="1"/>
    </xf>
    <xf numFmtId="0" fontId="13" fillId="0" borderId="5" xfId="0" applyFont="1" applyBorder="1" applyAlignment="1">
      <alignment vertical="top" wrapText="1"/>
    </xf>
    <xf numFmtId="0" fontId="2" fillId="0" borderId="5" xfId="0" applyFont="1" applyBorder="1" applyAlignment="1">
      <alignment vertical="top" wrapText="1"/>
    </xf>
    <xf numFmtId="0" fontId="14" fillId="10" borderId="5" xfId="0" applyFont="1" applyFill="1" applyBorder="1" applyAlignment="1">
      <alignment horizontal="left" vertical="top" wrapText="1"/>
    </xf>
    <xf numFmtId="0" fontId="3" fillId="0" borderId="5" xfId="0" applyFont="1" applyBorder="1" applyAlignment="1">
      <alignment vertical="top" wrapText="1"/>
    </xf>
    <xf numFmtId="0" fontId="1" fillId="0" borderId="5" xfId="0" applyFont="1" applyBorder="1" applyAlignment="1">
      <alignment vertical="top" wrapText="1"/>
    </xf>
    <xf numFmtId="0" fontId="42" fillId="0" borderId="0" xfId="0" applyFont="1" applyAlignment="1">
      <alignment horizontal="left" vertical="center" indent="1"/>
    </xf>
    <xf numFmtId="0" fontId="47" fillId="0" borderId="10" xfId="0" applyFont="1" applyBorder="1" applyAlignment="1">
      <alignment horizontal="left" vertical="top" indent="1"/>
    </xf>
    <xf numFmtId="0" fontId="47" fillId="0" borderId="13" xfId="0" applyFont="1" applyBorder="1" applyAlignment="1">
      <alignment horizontal="left" vertical="top" indent="1"/>
    </xf>
    <xf numFmtId="0" fontId="47" fillId="0" borderId="12" xfId="0" applyFont="1" applyBorder="1" applyAlignment="1">
      <alignment horizontal="left" vertical="top" indent="1"/>
    </xf>
    <xf numFmtId="0" fontId="14" fillId="38" borderId="4" xfId="0" applyFont="1" applyFill="1" applyBorder="1" applyAlignment="1">
      <alignment horizontal="left" vertical="top" indent="1"/>
    </xf>
    <xf numFmtId="0" fontId="0" fillId="38" borderId="4" xfId="0" applyFill="1" applyBorder="1"/>
    <xf numFmtId="0" fontId="0" fillId="38" borderId="5" xfId="0" applyFill="1" applyBorder="1"/>
    <xf numFmtId="0" fontId="14" fillId="10" borderId="4" xfId="0" applyFont="1" applyFill="1" applyBorder="1" applyAlignment="1">
      <alignment horizontal="left" vertical="top" indent="1"/>
    </xf>
    <xf numFmtId="0" fontId="0" fillId="0" borderId="4" xfId="0" applyBorder="1"/>
    <xf numFmtId="0" fontId="0" fillId="0" borderId="5" xfId="0" applyBorder="1"/>
    <xf numFmtId="0" fontId="0" fillId="0" borderId="9" xfId="0" applyBorder="1"/>
    <xf numFmtId="0" fontId="47" fillId="0" borderId="3" xfId="0" applyFont="1" applyBorder="1" applyAlignment="1">
      <alignment horizontal="left" vertical="top" indent="1"/>
    </xf>
    <xf numFmtId="0" fontId="47" fillId="0" borderId="4" xfId="0" applyFont="1" applyBorder="1" applyAlignment="1">
      <alignment horizontal="left" vertical="top" indent="1"/>
    </xf>
    <xf numFmtId="0" fontId="0" fillId="0" borderId="11" xfId="0" applyBorder="1"/>
    <xf numFmtId="0" fontId="0" fillId="0" borderId="7" xfId="0" applyBorder="1"/>
    <xf numFmtId="0" fontId="0" fillId="10" borderId="4" xfId="0" applyFill="1" applyBorder="1"/>
    <xf numFmtId="0" fontId="0" fillId="10" borderId="5" xfId="0" applyFill="1" applyBorder="1"/>
    <xf numFmtId="0" fontId="78" fillId="10" borderId="3" xfId="0" applyFont="1" applyFill="1" applyBorder="1" applyAlignment="1">
      <alignment horizontal="left" vertical="center" indent="1"/>
    </xf>
    <xf numFmtId="0" fontId="47" fillId="0" borderId="6" xfId="0" applyFont="1" applyBorder="1" applyAlignment="1">
      <alignment horizontal="left" vertical="center" indent="1"/>
    </xf>
    <xf numFmtId="0" fontId="78" fillId="38" borderId="3" xfId="0" applyFont="1" applyFill="1" applyBorder="1" applyAlignment="1">
      <alignment horizontal="left" vertical="top" indent="1"/>
    </xf>
    <xf numFmtId="0" fontId="1" fillId="5" borderId="10" xfId="0" applyFont="1" applyFill="1" applyBorder="1" applyAlignment="1">
      <alignment horizontal="left" vertical="center" wrapText="1" indent="1"/>
    </xf>
    <xf numFmtId="0" fontId="1" fillId="5" borderId="2" xfId="0" applyFont="1" applyFill="1" applyBorder="1" applyAlignment="1">
      <alignment horizontal="left" vertical="center" wrapText="1" indent="1"/>
    </xf>
    <xf numFmtId="0" fontId="1" fillId="0" borderId="2" xfId="0" applyFont="1" applyBorder="1" applyAlignment="1">
      <alignment horizontal="left" vertical="center" wrapText="1" indent="1"/>
    </xf>
    <xf numFmtId="20" fontId="0" fillId="6" borderId="2" xfId="0" quotePrefix="1" applyNumberFormat="1" applyFill="1" applyBorder="1" applyAlignment="1">
      <alignment horizontal="center" vertical="center"/>
    </xf>
    <xf numFmtId="0" fontId="0" fillId="6" borderId="2" xfId="0" quotePrefix="1" applyFill="1" applyBorder="1" applyAlignment="1">
      <alignment horizontal="center" vertical="center"/>
    </xf>
    <xf numFmtId="0" fontId="60" fillId="0" borderId="19" xfId="6" applyFont="1" applyBorder="1" applyAlignment="1">
      <alignment horizontal="center" vertical="center"/>
    </xf>
    <xf numFmtId="0" fontId="60" fillId="0" borderId="0" xfId="6" applyFont="1" applyAlignment="1">
      <alignment horizontal="center" vertical="center"/>
    </xf>
    <xf numFmtId="0" fontId="60" fillId="0" borderId="20" xfId="6" applyFont="1" applyBorder="1" applyAlignment="1">
      <alignment horizontal="center" vertical="center"/>
    </xf>
    <xf numFmtId="0" fontId="61" fillId="0" borderId="0" xfId="6" applyFont="1" applyAlignment="1">
      <alignment horizontal="left" vertical="top" wrapText="1"/>
    </xf>
    <xf numFmtId="0" fontId="0" fillId="0" borderId="0" xfId="0" applyAlignment="1">
      <alignment vertical="top" wrapText="1"/>
    </xf>
    <xf numFmtId="0" fontId="62" fillId="0" borderId="19" xfId="6" applyFont="1" applyBorder="1" applyAlignment="1">
      <alignment horizontal="center" wrapText="1"/>
    </xf>
    <xf numFmtId="0" fontId="62" fillId="0" borderId="0" xfId="6" applyFont="1" applyAlignment="1">
      <alignment horizontal="center" wrapText="1"/>
    </xf>
    <xf numFmtId="0" fontId="62" fillId="0" borderId="20" xfId="6" applyFont="1" applyBorder="1" applyAlignment="1">
      <alignment horizontal="center" wrapText="1"/>
    </xf>
    <xf numFmtId="0" fontId="62" fillId="0" borderId="19" xfId="6" applyFont="1" applyBorder="1" applyAlignment="1">
      <alignment horizontal="center"/>
    </xf>
    <xf numFmtId="0" fontId="62" fillId="0" borderId="0" xfId="6" applyFont="1" applyAlignment="1">
      <alignment horizontal="center"/>
    </xf>
    <xf numFmtId="0" fontId="62" fillId="0" borderId="20" xfId="6" applyFont="1" applyBorder="1" applyAlignment="1">
      <alignment horizontal="center"/>
    </xf>
    <xf numFmtId="0" fontId="56" fillId="0" borderId="0" xfId="6" applyFont="1" applyAlignment="1">
      <alignment horizontal="center"/>
    </xf>
    <xf numFmtId="0" fontId="57" fillId="0" borderId="19" xfId="6" applyFont="1" applyBorder="1" applyAlignment="1">
      <alignment horizontal="center"/>
    </xf>
    <xf numFmtId="0" fontId="57" fillId="0" borderId="0" xfId="6" applyFont="1" applyAlignment="1">
      <alignment horizontal="center"/>
    </xf>
    <xf numFmtId="0" fontId="57" fillId="0" borderId="20" xfId="6" applyFont="1" applyBorder="1" applyAlignment="1">
      <alignment horizontal="center"/>
    </xf>
    <xf numFmtId="0" fontId="58" fillId="0" borderId="19" xfId="6" applyFont="1" applyBorder="1" applyAlignment="1">
      <alignment horizontal="center"/>
    </xf>
    <xf numFmtId="0" fontId="58" fillId="0" borderId="0" xfId="6" applyFont="1" applyAlignment="1">
      <alignment horizontal="center"/>
    </xf>
    <xf numFmtId="0" fontId="58" fillId="0" borderId="20" xfId="6" applyFont="1" applyBorder="1" applyAlignment="1">
      <alignment horizontal="center"/>
    </xf>
    <xf numFmtId="0" fontId="59" fillId="0" borderId="19" xfId="6" applyFont="1" applyBorder="1" applyAlignment="1">
      <alignment horizontal="center"/>
    </xf>
    <xf numFmtId="0" fontId="59" fillId="0" borderId="0" xfId="6" applyFont="1" applyAlignment="1">
      <alignment horizontal="center"/>
    </xf>
    <xf numFmtId="0" fontId="59" fillId="0" borderId="20" xfId="6" applyFont="1" applyBorder="1" applyAlignment="1">
      <alignment horizontal="center"/>
    </xf>
    <xf numFmtId="0" fontId="59" fillId="0" borderId="19" xfId="6" applyFont="1" applyBorder="1" applyAlignment="1">
      <alignment horizontal="center" vertical="center"/>
    </xf>
    <xf numFmtId="0" fontId="59" fillId="0" borderId="0" xfId="6" applyFont="1" applyAlignment="1">
      <alignment horizontal="center" vertical="center"/>
    </xf>
    <xf numFmtId="0" fontId="59" fillId="0" borderId="20" xfId="6" applyFont="1" applyBorder="1" applyAlignment="1">
      <alignment horizontal="center" vertical="center"/>
    </xf>
    <xf numFmtId="0" fontId="80" fillId="0" borderId="2" xfId="0" applyFont="1" applyBorder="1" applyAlignment="1">
      <alignment horizontal="left" vertical="top" wrapText="1" indent="1"/>
    </xf>
    <xf numFmtId="0" fontId="0" fillId="0" borderId="2" xfId="0" applyBorder="1" applyAlignment="1">
      <alignment horizontal="left" vertical="top" wrapText="1" indent="1"/>
    </xf>
    <xf numFmtId="0" fontId="80" fillId="0" borderId="8" xfId="0" applyFont="1" applyBorder="1" applyAlignment="1">
      <alignment horizontal="left" vertical="top" wrapText="1" indent="1"/>
    </xf>
    <xf numFmtId="0" fontId="0" fillId="0" borderId="0" xfId="0" applyAlignment="1">
      <alignment horizontal="left" vertical="top" wrapText="1" indent="1"/>
    </xf>
    <xf numFmtId="0" fontId="0" fillId="0" borderId="9" xfId="0" applyBorder="1" applyAlignment="1">
      <alignment horizontal="left" vertical="top" wrapText="1" indent="1"/>
    </xf>
    <xf numFmtId="0" fontId="80" fillId="0" borderId="14" xfId="0" applyFont="1" applyBorder="1" applyAlignment="1">
      <alignment horizontal="left" vertical="top" wrapText="1" indent="1"/>
    </xf>
    <xf numFmtId="0" fontId="0" fillId="0" borderId="1" xfId="0" applyBorder="1" applyAlignment="1">
      <alignment horizontal="left" vertical="top" wrapText="1" indent="1"/>
    </xf>
    <xf numFmtId="0" fontId="0" fillId="0" borderId="15" xfId="0" applyBorder="1" applyAlignment="1">
      <alignment horizontal="left" vertical="top" wrapText="1" indent="1"/>
    </xf>
    <xf numFmtId="0" fontId="42" fillId="0" borderId="0" xfId="0" applyFont="1" applyAlignment="1">
      <alignment horizontal="center"/>
    </xf>
    <xf numFmtId="0" fontId="40" fillId="0" borderId="0" xfId="0" applyFont="1" applyAlignment="1">
      <alignment horizontal="center"/>
    </xf>
    <xf numFmtId="0" fontId="40" fillId="0" borderId="1" xfId="0" applyFont="1" applyBorder="1" applyAlignment="1">
      <alignment horizontal="left" vertical="top" indent="1"/>
    </xf>
    <xf numFmtId="0" fontId="40" fillId="10" borderId="2" xfId="0" applyFont="1" applyFill="1" applyBorder="1" applyAlignment="1">
      <alignment horizontal="center" vertical="top"/>
    </xf>
    <xf numFmtId="0" fontId="40" fillId="0" borderId="1" xfId="0" applyFont="1" applyBorder="1" applyAlignment="1">
      <alignment horizontal="left" vertical="top"/>
    </xf>
    <xf numFmtId="0" fontId="40" fillId="0" borderId="2" xfId="0" applyFont="1" applyBorder="1" applyAlignment="1">
      <alignment horizontal="left" vertical="top" indent="1"/>
    </xf>
    <xf numFmtId="0" fontId="44" fillId="0" borderId="6" xfId="0" applyFont="1" applyBorder="1" applyAlignment="1">
      <alignment horizontal="left" vertical="top" wrapText="1" indent="1"/>
    </xf>
    <xf numFmtId="0" fontId="44" fillId="0" borderId="11" xfId="0" applyFont="1" applyBorder="1" applyAlignment="1">
      <alignment horizontal="left" vertical="top" wrapText="1" indent="1"/>
    </xf>
    <xf numFmtId="0" fontId="44" fillId="0" borderId="7" xfId="0" applyFont="1" applyBorder="1" applyAlignment="1">
      <alignment horizontal="left" vertical="top" wrapText="1" indent="1"/>
    </xf>
    <xf numFmtId="0" fontId="40" fillId="0" borderId="6" xfId="0" applyFont="1" applyBorder="1" applyAlignment="1">
      <alignment horizontal="left" vertical="top" wrapText="1" indent="1"/>
    </xf>
    <xf numFmtId="0" fontId="40" fillId="0" borderId="11" xfId="0" applyFont="1" applyBorder="1" applyAlignment="1">
      <alignment horizontal="left" vertical="top" wrapText="1" indent="1"/>
    </xf>
    <xf numFmtId="0" fontId="40" fillId="0" borderId="7" xfId="0" applyFont="1" applyBorder="1" applyAlignment="1">
      <alignment horizontal="left" vertical="top" wrapText="1" indent="1"/>
    </xf>
    <xf numFmtId="0" fontId="44" fillId="0" borderId="3" xfId="0" applyFont="1" applyBorder="1" applyAlignment="1">
      <alignment horizontal="left" vertical="top" wrapText="1" indent="1"/>
    </xf>
    <xf numFmtId="0" fontId="44" fillId="0" borderId="5" xfId="0" applyFont="1" applyBorder="1" applyAlignment="1">
      <alignment horizontal="left" vertical="top" wrapText="1" indent="1"/>
    </xf>
    <xf numFmtId="0" fontId="40" fillId="0" borderId="3" xfId="0" applyFont="1" applyBorder="1" applyAlignment="1">
      <alignment horizontal="left" vertical="top" wrapText="1" indent="1"/>
    </xf>
    <xf numFmtId="0" fontId="40" fillId="0" borderId="5" xfId="0" applyFont="1" applyBorder="1" applyAlignment="1">
      <alignment horizontal="left" vertical="top" wrapText="1" indent="1"/>
    </xf>
    <xf numFmtId="0" fontId="40" fillId="10" borderId="3" xfId="0" applyFont="1" applyFill="1" applyBorder="1" applyAlignment="1">
      <alignment horizontal="center"/>
    </xf>
    <xf numFmtId="0" fontId="40" fillId="10" borderId="4" xfId="0" applyFont="1" applyFill="1" applyBorder="1" applyAlignment="1">
      <alignment horizontal="center"/>
    </xf>
    <xf numFmtId="0" fontId="40" fillId="10" borderId="5" xfId="0" applyFont="1" applyFill="1" applyBorder="1" applyAlignment="1">
      <alignment horizontal="center"/>
    </xf>
    <xf numFmtId="0" fontId="11" fillId="0" borderId="2" xfId="0" applyFont="1" applyBorder="1" applyAlignment="1">
      <alignment horizontal="left" vertical="top" wrapText="1" indent="1"/>
    </xf>
    <xf numFmtId="0" fontId="14" fillId="0" borderId="2" xfId="0" applyFont="1" applyBorder="1" applyAlignment="1">
      <alignment horizontal="left" vertical="top" wrapText="1" indent="1"/>
    </xf>
    <xf numFmtId="0" fontId="2" fillId="0" borderId="3" xfId="0" applyFont="1" applyBorder="1" applyAlignment="1">
      <alignment horizontal="left" vertical="top" wrapText="1" indent="1"/>
    </xf>
    <xf numFmtId="0" fontId="14" fillId="0" borderId="5" xfId="0" applyFont="1" applyBorder="1" applyAlignment="1">
      <alignment horizontal="left" vertical="top" indent="1"/>
    </xf>
    <xf numFmtId="0" fontId="1" fillId="0" borderId="3" xfId="0" applyFont="1" applyBorder="1" applyAlignment="1">
      <alignment horizontal="left" vertical="top" wrapText="1" indent="1"/>
    </xf>
    <xf numFmtId="0" fontId="100" fillId="7" borderId="2" xfId="0" applyFont="1" applyFill="1" applyBorder="1" applyAlignment="1">
      <alignment horizontal="center" vertical="center" wrapText="1"/>
    </xf>
    <xf numFmtId="0" fontId="100" fillId="0" borderId="2" xfId="0" applyFont="1" applyBorder="1" applyAlignment="1">
      <alignment horizontal="center" vertical="center" wrapText="1"/>
    </xf>
    <xf numFmtId="0" fontId="100" fillId="36" borderId="2" xfId="0" applyFont="1" applyFill="1" applyBorder="1" applyAlignment="1">
      <alignment horizontal="center" vertical="center" wrapText="1"/>
    </xf>
    <xf numFmtId="0" fontId="3" fillId="0" borderId="3" xfId="0" applyFont="1" applyBorder="1" applyAlignment="1">
      <alignment horizontal="left" vertical="top" wrapText="1" indent="1"/>
    </xf>
    <xf numFmtId="0" fontId="40" fillId="6" borderId="3" xfId="0" applyFont="1" applyFill="1" applyBorder="1" applyAlignment="1">
      <alignment horizontal="center" vertical="center" wrapText="1"/>
    </xf>
    <xf numFmtId="0" fontId="40" fillId="6" borderId="4" xfId="0" applyFont="1" applyFill="1" applyBorder="1" applyAlignment="1">
      <alignment horizontal="center" vertical="center" wrapText="1"/>
    </xf>
    <xf numFmtId="0" fontId="40" fillId="6" borderId="5" xfId="0" applyFont="1" applyFill="1" applyBorder="1" applyAlignment="1">
      <alignment horizontal="center" vertical="center" wrapText="1"/>
    </xf>
    <xf numFmtId="0" fontId="40" fillId="6" borderId="3" xfId="0" quotePrefix="1" applyFont="1" applyFill="1" applyBorder="1" applyAlignment="1">
      <alignment horizontal="center" vertical="center" wrapText="1"/>
    </xf>
    <xf numFmtId="0" fontId="7" fillId="0" borderId="2" xfId="0" applyFont="1" applyBorder="1" applyAlignment="1">
      <alignment horizontal="left" vertical="top" wrapText="1" indent="1"/>
    </xf>
    <xf numFmtId="0" fontId="40" fillId="0" borderId="2" xfId="0" applyFont="1" applyBorder="1" applyAlignment="1">
      <alignment horizontal="left" vertical="top" wrapText="1" indent="1"/>
    </xf>
    <xf numFmtId="0" fontId="40" fillId="0" borderId="8" xfId="0" applyFont="1" applyBorder="1" applyAlignment="1">
      <alignment horizontal="left" vertical="top" indent="1"/>
    </xf>
    <xf numFmtId="0" fontId="40" fillId="0" borderId="9" xfId="0" applyFont="1" applyBorder="1" applyAlignment="1">
      <alignment horizontal="left" vertical="top" indent="1"/>
    </xf>
    <xf numFmtId="0" fontId="40" fillId="0" borderId="4" xfId="0" applyFont="1" applyBorder="1" applyAlignment="1">
      <alignment horizontal="left" vertical="top" wrapText="1" indent="1"/>
    </xf>
    <xf numFmtId="0" fontId="44" fillId="6" borderId="2" xfId="0" applyFont="1" applyFill="1" applyBorder="1" applyAlignment="1">
      <alignment horizontal="center"/>
    </xf>
    <xf numFmtId="0" fontId="12" fillId="0" borderId="3" xfId="0" applyFont="1" applyBorder="1" applyAlignment="1">
      <alignment horizontal="left" vertical="top" wrapText="1" indent="1"/>
    </xf>
    <xf numFmtId="0" fontId="14" fillId="0" borderId="10" xfId="0" applyFont="1" applyBorder="1" applyAlignment="1">
      <alignment horizontal="left" vertical="top" indent="1"/>
    </xf>
    <xf numFmtId="0" fontId="14" fillId="0" borderId="12" xfId="0" applyFont="1" applyBorder="1" applyAlignment="1">
      <alignment horizontal="left" vertical="top" indent="1"/>
    </xf>
    <xf numFmtId="0" fontId="14" fillId="0" borderId="13" xfId="0" applyFont="1" applyBorder="1" applyAlignment="1">
      <alignment horizontal="left" vertical="top" indent="1"/>
    </xf>
    <xf numFmtId="0" fontId="5" fillId="0" borderId="3" xfId="0" applyFont="1" applyBorder="1" applyAlignment="1">
      <alignment horizontal="left" vertical="top" wrapText="1" indent="1"/>
    </xf>
    <xf numFmtId="0" fontId="14" fillId="0" borderId="2" xfId="0" applyFont="1" applyBorder="1" applyAlignment="1">
      <alignment horizontal="left" vertical="top" indent="1"/>
    </xf>
    <xf numFmtId="0" fontId="44" fillId="0" borderId="0" xfId="0" applyFont="1" applyAlignment="1">
      <alignment horizontal="center"/>
    </xf>
    <xf numFmtId="0" fontId="14" fillId="0" borderId="10" xfId="0" applyFont="1" applyBorder="1" applyAlignment="1">
      <alignment horizontal="center" vertical="top" wrapText="1"/>
    </xf>
    <xf numFmtId="0" fontId="14" fillId="0" borderId="12" xfId="0" applyFont="1" applyBorder="1" applyAlignment="1">
      <alignment horizontal="center" vertical="top" wrapText="1"/>
    </xf>
    <xf numFmtId="0" fontId="14" fillId="0" borderId="13" xfId="0" applyFont="1" applyBorder="1" applyAlignment="1">
      <alignment horizontal="center" vertical="top" wrapText="1"/>
    </xf>
    <xf numFmtId="0" fontId="6" fillId="0" borderId="0" xfId="0" applyFont="1" applyAlignment="1">
      <alignment horizontal="center"/>
    </xf>
    <xf numFmtId="0" fontId="14" fillId="0" borderId="8" xfId="0" quotePrefix="1" applyFont="1" applyBorder="1" applyAlignment="1">
      <alignment horizontal="left" vertical="top" wrapText="1" indent="2"/>
    </xf>
    <xf numFmtId="0" fontId="0" fillId="0" borderId="0" xfId="0" applyAlignment="1">
      <alignment horizontal="left" vertical="top" wrapText="1"/>
    </xf>
    <xf numFmtId="0" fontId="0" fillId="0" borderId="9" xfId="0" applyBorder="1" applyAlignment="1">
      <alignment horizontal="left" vertical="top" wrapText="1"/>
    </xf>
    <xf numFmtId="0" fontId="14" fillId="0" borderId="14" xfId="0" quotePrefix="1" applyFont="1" applyBorder="1" applyAlignment="1">
      <alignment horizontal="left" vertical="top" wrapText="1" indent="2"/>
    </xf>
    <xf numFmtId="0" fontId="0" fillId="0" borderId="1" xfId="0" applyBorder="1" applyAlignment="1">
      <alignment horizontal="left" vertical="top" wrapText="1"/>
    </xf>
    <xf numFmtId="0" fontId="0" fillId="0" borderId="15" xfId="0" applyBorder="1" applyAlignment="1">
      <alignment horizontal="left" vertical="top" wrapText="1"/>
    </xf>
    <xf numFmtId="0" fontId="14" fillId="0" borderId="8" xfId="0" quotePrefix="1" applyFont="1" applyBorder="1" applyAlignment="1">
      <alignment horizontal="left" vertical="center" wrapText="1" indent="1"/>
    </xf>
    <xf numFmtId="0" fontId="0" fillId="0" borderId="0" xfId="0" applyAlignment="1">
      <alignment horizontal="left" vertical="center" wrapText="1" indent="1"/>
    </xf>
    <xf numFmtId="0" fontId="0" fillId="0" borderId="9" xfId="0" applyBorder="1" applyAlignment="1">
      <alignment horizontal="left" vertical="center" wrapText="1" indent="1"/>
    </xf>
    <xf numFmtId="0" fontId="14" fillId="0" borderId="14" xfId="0" quotePrefix="1" applyFont="1" applyBorder="1" applyAlignment="1">
      <alignment horizontal="left" vertical="top" wrapText="1" indent="1"/>
    </xf>
    <xf numFmtId="0" fontId="14" fillId="0" borderId="6" xfId="0" quotePrefix="1" applyFont="1" applyBorder="1" applyAlignment="1">
      <alignment horizontal="left" vertical="top" wrapText="1" indent="1"/>
    </xf>
    <xf numFmtId="0" fontId="0" fillId="0" borderId="11" xfId="0" applyBorder="1" applyAlignment="1">
      <alignment horizontal="left" vertical="top" wrapText="1" indent="1"/>
    </xf>
    <xf numFmtId="0" fontId="0" fillId="0" borderId="7" xfId="0" applyBorder="1" applyAlignment="1">
      <alignment horizontal="left" vertical="top" wrapText="1" indent="1"/>
    </xf>
    <xf numFmtId="0" fontId="78" fillId="10" borderId="3" xfId="0" applyFont="1" applyFill="1" applyBorder="1" applyAlignment="1">
      <alignment horizontal="left" vertical="center" wrapText="1" indent="1"/>
    </xf>
    <xf numFmtId="0" fontId="78" fillId="10" borderId="4" xfId="0" applyFont="1" applyFill="1" applyBorder="1" applyAlignment="1">
      <alignment horizontal="left" vertical="center" wrapText="1" indent="1"/>
    </xf>
    <xf numFmtId="0" fontId="16" fillId="0" borderId="4" xfId="0" applyFont="1" applyBorder="1" applyAlignment="1">
      <alignment horizontal="left" vertical="center" wrapText="1" indent="1"/>
    </xf>
    <xf numFmtId="0" fontId="16" fillId="0" borderId="5" xfId="0" applyFont="1" applyBorder="1" applyAlignment="1">
      <alignment horizontal="left" vertical="center" wrapText="1" indent="1"/>
    </xf>
    <xf numFmtId="0" fontId="99" fillId="6" borderId="2" xfId="0" applyFont="1" applyFill="1" applyBorder="1" applyAlignment="1">
      <alignment horizontal="center" vertical="center" wrapText="1"/>
    </xf>
    <xf numFmtId="0" fontId="14" fillId="0" borderId="8" xfId="0" quotePrefix="1" applyFont="1" applyBorder="1" applyAlignment="1">
      <alignment horizontal="left" vertical="top" wrapText="1" indent="1"/>
    </xf>
    <xf numFmtId="0" fontId="14" fillId="0" borderId="8" xfId="0" quotePrefix="1" applyFont="1" applyBorder="1" applyAlignment="1">
      <alignment horizontal="left" vertical="center" wrapText="1" indent="2"/>
    </xf>
    <xf numFmtId="0" fontId="0" fillId="0" borderId="0" xfId="0" applyAlignment="1">
      <alignment horizontal="left" vertical="center" wrapText="1"/>
    </xf>
    <xf numFmtId="0" fontId="0" fillId="0" borderId="9" xfId="0" applyBorder="1" applyAlignment="1">
      <alignment horizontal="left" vertical="center" wrapText="1"/>
    </xf>
    <xf numFmtId="0" fontId="40" fillId="9" borderId="3" xfId="0" applyFont="1" applyFill="1" applyBorder="1" applyAlignment="1">
      <alignment horizontal="center" vertical="center"/>
    </xf>
    <xf numFmtId="0" fontId="40" fillId="9" borderId="4" xfId="0" applyFont="1" applyFill="1" applyBorder="1" applyAlignment="1">
      <alignment horizontal="center" vertical="center"/>
    </xf>
    <xf numFmtId="0" fontId="40" fillId="9" borderId="5" xfId="0" applyFont="1" applyFill="1" applyBorder="1" applyAlignment="1">
      <alignment horizontal="center" vertical="center"/>
    </xf>
    <xf numFmtId="0" fontId="40" fillId="9" borderId="3" xfId="0" applyFont="1" applyFill="1" applyBorder="1" applyAlignment="1">
      <alignment horizontal="center" vertical="center" wrapText="1"/>
    </xf>
    <xf numFmtId="0" fontId="0" fillId="9" borderId="4" xfId="0" applyFill="1" applyBorder="1" applyAlignment="1">
      <alignment horizontal="center" vertical="center" wrapText="1"/>
    </xf>
    <xf numFmtId="0" fontId="0" fillId="9" borderId="5" xfId="0" applyFill="1" applyBorder="1" applyAlignment="1">
      <alignment horizontal="center" vertical="center" wrapText="1"/>
    </xf>
    <xf numFmtId="0" fontId="44" fillId="0" borderId="4" xfId="0" applyFont="1" applyBorder="1" applyAlignment="1">
      <alignment horizontal="left" vertical="top" wrapText="1" indent="1"/>
    </xf>
    <xf numFmtId="0" fontId="44" fillId="0" borderId="1" xfId="0" applyFont="1" applyBorder="1" applyAlignment="1">
      <alignment horizontal="left" indent="1"/>
    </xf>
    <xf numFmtId="0" fontId="44" fillId="0" borderId="1" xfId="0" applyFont="1" applyBorder="1" applyAlignment="1">
      <alignment horizontal="left" vertical="top"/>
    </xf>
    <xf numFmtId="0" fontId="44" fillId="9" borderId="2" xfId="0" applyFont="1" applyFill="1" applyBorder="1" applyAlignment="1">
      <alignment horizontal="left" indent="1"/>
    </xf>
    <xf numFmtId="0" fontId="40" fillId="7" borderId="2" xfId="0" applyFont="1" applyFill="1" applyBorder="1" applyAlignment="1">
      <alignment horizontal="left"/>
    </xf>
    <xf numFmtId="0" fontId="44" fillId="6" borderId="3" xfId="0" applyFont="1" applyFill="1" applyBorder="1" applyAlignment="1">
      <alignment horizontal="center"/>
    </xf>
    <xf numFmtId="0" fontId="44" fillId="6" borderId="4" xfId="0" applyFont="1" applyFill="1" applyBorder="1" applyAlignment="1">
      <alignment horizontal="center"/>
    </xf>
    <xf numFmtId="0" fontId="44" fillId="6" borderId="5" xfId="0" applyFont="1" applyFill="1" applyBorder="1" applyAlignment="1">
      <alignment horizontal="center"/>
    </xf>
    <xf numFmtId="0" fontId="0" fillId="6" borderId="5" xfId="0" applyFill="1" applyBorder="1" applyAlignment="1">
      <alignment horizontal="center" vertical="center" wrapText="1"/>
    </xf>
    <xf numFmtId="0" fontId="40" fillId="7" borderId="3" xfId="0" quotePrefix="1" applyFont="1" applyFill="1" applyBorder="1" applyAlignment="1">
      <alignment horizontal="center" vertical="center" wrapText="1"/>
    </xf>
    <xf numFmtId="0" fontId="40" fillId="7" borderId="5" xfId="0" applyFont="1" applyFill="1" applyBorder="1" applyAlignment="1">
      <alignment horizontal="center" vertical="center" wrapText="1"/>
    </xf>
    <xf numFmtId="0" fontId="40" fillId="7" borderId="5" xfId="0" quotePrefix="1" applyFont="1" applyFill="1" applyBorder="1" applyAlignment="1">
      <alignment horizontal="center" vertical="center" wrapText="1"/>
    </xf>
    <xf numFmtId="0" fontId="45" fillId="7" borderId="3" xfId="0" applyFont="1" applyFill="1" applyBorder="1" applyAlignment="1">
      <alignment horizontal="left"/>
    </xf>
    <xf numFmtId="0" fontId="45" fillId="7" borderId="4" xfId="0" applyFont="1" applyFill="1" applyBorder="1" applyAlignment="1">
      <alignment horizontal="left"/>
    </xf>
    <xf numFmtId="0" fontId="45" fillId="7" borderId="5" xfId="0" applyFont="1" applyFill="1" applyBorder="1" applyAlignment="1">
      <alignment horizontal="left"/>
    </xf>
    <xf numFmtId="0" fontId="14" fillId="0" borderId="10" xfId="0" applyFont="1" applyBorder="1" applyAlignment="1">
      <alignment horizontal="center" vertical="top"/>
    </xf>
    <xf numFmtId="0" fontId="14" fillId="0" borderId="12" xfId="0" applyFont="1" applyBorder="1" applyAlignment="1">
      <alignment horizontal="center" vertical="top"/>
    </xf>
    <xf numFmtId="0" fontId="14" fillId="0" borderId="13" xfId="0" applyFont="1" applyBorder="1" applyAlignment="1">
      <alignment horizontal="center" vertical="top"/>
    </xf>
    <xf numFmtId="0" fontId="14" fillId="0" borderId="10" xfId="0" applyFont="1" applyBorder="1" applyAlignment="1">
      <alignment horizontal="left" vertical="top" wrapText="1" indent="1"/>
    </xf>
    <xf numFmtId="0" fontId="14" fillId="0" borderId="6" xfId="0" applyFont="1" applyBorder="1" applyAlignment="1">
      <alignment horizontal="left" vertical="top" wrapText="1" indent="1"/>
    </xf>
    <xf numFmtId="0" fontId="14" fillId="0" borderId="7" xfId="0" applyFont="1" applyBorder="1" applyAlignment="1">
      <alignment horizontal="left" vertical="top" wrapText="1" indent="1"/>
    </xf>
    <xf numFmtId="0" fontId="14" fillId="0" borderId="8" xfId="0" applyFont="1" applyBorder="1" applyAlignment="1">
      <alignment horizontal="left" vertical="top" wrapText="1" indent="1"/>
    </xf>
    <xf numFmtId="0" fontId="14" fillId="0" borderId="9" xfId="0" applyFont="1" applyBorder="1" applyAlignment="1">
      <alignment horizontal="left" vertical="top" wrapText="1" indent="1"/>
    </xf>
    <xf numFmtId="0" fontId="14" fillId="0" borderId="14" xfId="0" applyFont="1" applyBorder="1" applyAlignment="1">
      <alignment horizontal="left" vertical="top" wrapText="1" indent="1"/>
    </xf>
    <xf numFmtId="0" fontId="14" fillId="0" borderId="15" xfId="0" applyFont="1" applyBorder="1" applyAlignment="1">
      <alignment horizontal="left" vertical="top" wrapText="1" indent="1"/>
    </xf>
    <xf numFmtId="0" fontId="14" fillId="0" borderId="3" xfId="0" applyFont="1" applyBorder="1" applyAlignment="1">
      <alignment horizontal="left" vertical="top" wrapText="1" indent="1"/>
    </xf>
    <xf numFmtId="0" fontId="14" fillId="0" borderId="5" xfId="0" applyFont="1" applyBorder="1" applyAlignment="1">
      <alignment horizontal="left" vertical="top" wrapText="1" indent="1"/>
    </xf>
    <xf numFmtId="0" fontId="14" fillId="0" borderId="2" xfId="0" applyFont="1" applyBorder="1" applyAlignment="1">
      <alignment horizontal="center" vertical="top"/>
    </xf>
    <xf numFmtId="0" fontId="88" fillId="13" borderId="0" xfId="0" applyFont="1" applyFill="1" applyAlignment="1">
      <alignment horizontal="center" vertical="center" wrapText="1"/>
    </xf>
    <xf numFmtId="0" fontId="89" fillId="13" borderId="0" xfId="0" applyFont="1" applyFill="1" applyAlignment="1">
      <alignment horizontal="center" vertical="center" wrapText="1"/>
    </xf>
    <xf numFmtId="0" fontId="89" fillId="0" borderId="0" xfId="0" applyFont="1"/>
    <xf numFmtId="0" fontId="45" fillId="9" borderId="14" xfId="0" applyFont="1" applyFill="1" applyBorder="1" applyAlignment="1">
      <alignment horizontal="left" vertical="center" wrapText="1" indent="2"/>
    </xf>
    <xf numFmtId="0" fontId="0" fillId="9" borderId="1" xfId="0" applyFill="1" applyBorder="1" applyAlignment="1">
      <alignment horizontal="left" vertical="center" wrapText="1" indent="2"/>
    </xf>
    <xf numFmtId="0" fontId="44" fillId="6" borderId="3" xfId="0" applyFont="1" applyFill="1" applyBorder="1" applyAlignment="1">
      <alignment horizontal="center" vertical="center" wrapText="1"/>
    </xf>
    <xf numFmtId="0" fontId="16" fillId="6" borderId="5" xfId="0" applyFont="1" applyFill="1" applyBorder="1" applyAlignment="1">
      <alignment vertical="center" wrapText="1"/>
    </xf>
    <xf numFmtId="0" fontId="44" fillId="2" borderId="3" xfId="0" applyFont="1" applyFill="1" applyBorder="1" applyAlignment="1">
      <alignment horizontal="left"/>
    </xf>
    <xf numFmtId="0" fontId="44" fillId="2" borderId="4" xfId="0" applyFont="1" applyFill="1" applyBorder="1" applyAlignment="1">
      <alignment horizontal="left"/>
    </xf>
    <xf numFmtId="0" fontId="44" fillId="2" borderId="5" xfId="0" applyFont="1" applyFill="1" applyBorder="1" applyAlignment="1">
      <alignment horizontal="left"/>
    </xf>
    <xf numFmtId="0" fontId="47" fillId="0" borderId="6" xfId="0" applyFont="1" applyBorder="1" applyAlignment="1">
      <alignment horizontal="left" vertical="top" wrapText="1" indent="2"/>
    </xf>
    <xf numFmtId="0" fontId="0" fillId="0" borderId="11" xfId="0" applyBorder="1" applyAlignment="1">
      <alignment horizontal="left" vertical="top" wrapText="1"/>
    </xf>
    <xf numFmtId="0" fontId="0" fillId="0" borderId="7" xfId="0" applyBorder="1" applyAlignment="1">
      <alignment horizontal="left" vertical="top" wrapText="1"/>
    </xf>
    <xf numFmtId="0" fontId="47" fillId="0" borderId="8" xfId="0" applyFont="1" applyBorder="1" applyAlignment="1">
      <alignment horizontal="left" vertical="center" wrapText="1" indent="2"/>
    </xf>
    <xf numFmtId="0" fontId="40" fillId="7" borderId="6" xfId="0" applyFont="1" applyFill="1" applyBorder="1" applyAlignment="1">
      <alignment horizontal="left" vertical="center" wrapText="1" indent="1"/>
    </xf>
    <xf numFmtId="0" fontId="0" fillId="0" borderId="11" xfId="0" applyBorder="1" applyAlignment="1">
      <alignment horizontal="left" vertical="center" wrapText="1" indent="1"/>
    </xf>
    <xf numFmtId="0" fontId="44" fillId="9" borderId="8" xfId="0" applyFont="1" applyFill="1" applyBorder="1" applyAlignment="1">
      <alignment horizontal="left" vertical="top" wrapText="1" indent="1"/>
    </xf>
    <xf numFmtId="0" fontId="0" fillId="9" borderId="0" xfId="0" applyFill="1" applyAlignment="1">
      <alignment horizontal="left" vertical="top" wrapText="1" indent="1"/>
    </xf>
    <xf numFmtId="0" fontId="0" fillId="0" borderId="11" xfId="0" applyBorder="1" applyAlignment="1">
      <alignment horizontal="left" wrapText="1" indent="1"/>
    </xf>
    <xf numFmtId="0" fontId="44" fillId="9" borderId="14" xfId="0" applyFont="1" applyFill="1" applyBorder="1" applyAlignment="1">
      <alignment horizontal="left" vertical="center" wrapText="1" indent="1"/>
    </xf>
    <xf numFmtId="0" fontId="0" fillId="9" borderId="1" xfId="0" applyFill="1" applyBorder="1" applyAlignment="1">
      <alignment horizontal="left" vertical="center" wrapText="1" indent="1"/>
    </xf>
    <xf numFmtId="0" fontId="8" fillId="0" borderId="0" xfId="0" applyFont="1" applyAlignment="1">
      <alignment horizontal="center"/>
    </xf>
    <xf numFmtId="0" fontId="50" fillId="7" borderId="0" xfId="0" applyFont="1" applyFill="1" applyAlignment="1">
      <alignment vertical="center" wrapText="1"/>
    </xf>
    <xf numFmtId="0" fontId="94" fillId="0" borderId="0" xfId="0" applyFont="1" applyAlignment="1">
      <alignment vertical="center" wrapText="1"/>
    </xf>
    <xf numFmtId="0" fontId="47" fillId="0" borderId="10" xfId="0" applyFont="1" applyBorder="1" applyAlignment="1">
      <alignment horizontal="left" vertical="top" wrapText="1" indent="1"/>
    </xf>
    <xf numFmtId="0" fontId="0" fillId="0" borderId="12" xfId="0" applyBorder="1" applyAlignment="1">
      <alignment horizontal="left" vertical="top" wrapText="1" indent="1"/>
    </xf>
    <xf numFmtId="0" fontId="13" fillId="7" borderId="2" xfId="0" applyFont="1" applyFill="1" applyBorder="1" applyAlignment="1">
      <alignment horizontal="left" indent="1"/>
    </xf>
    <xf numFmtId="0" fontId="10" fillId="0" borderId="0" xfId="0" applyFont="1" applyAlignment="1">
      <alignment horizontal="center"/>
    </xf>
    <xf numFmtId="0" fontId="13" fillId="0" borderId="0" xfId="0" applyFont="1" applyAlignment="1">
      <alignment horizontal="center"/>
    </xf>
    <xf numFmtId="0" fontId="13" fillId="0" borderId="0" xfId="0" applyFont="1" applyAlignment="1">
      <alignment horizontal="left" vertical="top" wrapText="1" indent="1"/>
    </xf>
    <xf numFmtId="0" fontId="13" fillId="0" borderId="1" xfId="0" applyFont="1" applyBorder="1" applyAlignment="1">
      <alignment horizontal="left" vertical="top" wrapText="1" indent="1"/>
    </xf>
    <xf numFmtId="0" fontId="13" fillId="0" borderId="0" xfId="0" applyFont="1" applyAlignment="1">
      <alignment horizontal="left" indent="1"/>
    </xf>
    <xf numFmtId="0" fontId="13" fillId="0" borderId="1" xfId="0" applyFont="1" applyBorder="1" applyAlignment="1">
      <alignment horizontal="left" indent="1"/>
    </xf>
    <xf numFmtId="0" fontId="40" fillId="0" borderId="0" xfId="0" applyFont="1" applyAlignment="1">
      <alignment horizontal="center" vertical="center"/>
    </xf>
    <xf numFmtId="0" fontId="47" fillId="7" borderId="2" xfId="0" applyFont="1" applyFill="1" applyBorder="1" applyAlignment="1">
      <alignment horizontal="left" vertical="top" wrapText="1" indent="1"/>
    </xf>
    <xf numFmtId="0" fontId="13" fillId="7" borderId="2" xfId="0" applyFont="1" applyFill="1" applyBorder="1" applyAlignment="1">
      <alignment horizontal="left" vertical="top" wrapText="1" indent="1"/>
    </xf>
    <xf numFmtId="0" fontId="13" fillId="0" borderId="3" xfId="0" applyFont="1" applyBorder="1" applyAlignment="1">
      <alignment horizontal="left" vertical="top" wrapText="1" indent="1"/>
    </xf>
    <xf numFmtId="0" fontId="13" fillId="0" borderId="4" xfId="0" applyFont="1" applyBorder="1" applyAlignment="1">
      <alignment horizontal="left" vertical="top" wrapText="1" indent="1"/>
    </xf>
    <xf numFmtId="0" fontId="13" fillId="0" borderId="5" xfId="0" applyFont="1" applyBorder="1" applyAlignment="1">
      <alignment horizontal="left" vertical="top" wrapText="1" indent="1"/>
    </xf>
    <xf numFmtId="0" fontId="44" fillId="0" borderId="0" xfId="0" applyFont="1" applyAlignment="1">
      <alignment horizontal="center" vertical="center"/>
    </xf>
    <xf numFmtId="0" fontId="8" fillId="7" borderId="2" xfId="0" applyFont="1" applyFill="1" applyBorder="1" applyAlignment="1">
      <alignment horizontal="left" vertical="top" wrapText="1" indent="1"/>
    </xf>
    <xf numFmtId="0" fontId="103" fillId="6" borderId="0" xfId="0" applyFont="1" applyFill="1" applyAlignment="1">
      <alignment horizontal="center" vertical="center" wrapText="1"/>
    </xf>
    <xf numFmtId="0" fontId="0" fillId="0" borderId="0" xfId="0" applyAlignment="1">
      <alignment horizontal="center" vertical="center" wrapText="1"/>
    </xf>
    <xf numFmtId="0" fontId="40" fillId="0" borderId="10" xfId="0" applyFont="1" applyBorder="1" applyAlignment="1">
      <alignment horizontal="left" wrapText="1" indent="2"/>
    </xf>
    <xf numFmtId="0" fontId="0" fillId="0" borderId="13" xfId="0" applyBorder="1" applyAlignment="1">
      <alignment horizontal="left" wrapText="1" indent="2"/>
    </xf>
    <xf numFmtId="0" fontId="40" fillId="0" borderId="10" xfId="0" applyFont="1" applyBorder="1" applyAlignment="1">
      <alignment horizontal="left" vertical="top" wrapText="1" indent="2"/>
    </xf>
    <xf numFmtId="0" fontId="0" fillId="0" borderId="13" xfId="0" applyBorder="1" applyAlignment="1">
      <alignment horizontal="left" vertical="top" wrapText="1" indent="2"/>
    </xf>
    <xf numFmtId="0" fontId="40" fillId="5" borderId="10" xfId="0" applyFont="1" applyFill="1" applyBorder="1" applyAlignment="1">
      <alignment horizontal="center" vertical="top" wrapText="1"/>
    </xf>
    <xf numFmtId="0" fontId="40" fillId="5" borderId="12" xfId="0" applyFont="1" applyFill="1" applyBorder="1" applyAlignment="1">
      <alignment horizontal="center" vertical="top" wrapText="1"/>
    </xf>
    <xf numFmtId="0" fontId="40" fillId="5" borderId="13" xfId="0" applyFont="1" applyFill="1" applyBorder="1" applyAlignment="1">
      <alignment horizontal="center" vertical="top" wrapText="1"/>
    </xf>
    <xf numFmtId="0" fontId="40" fillId="0" borderId="10" xfId="0" applyFont="1" applyBorder="1" applyAlignment="1">
      <alignment horizontal="center" vertical="top" wrapText="1"/>
    </xf>
    <xf numFmtId="0" fontId="40" fillId="0" borderId="13" xfId="0" applyFont="1" applyBorder="1" applyAlignment="1">
      <alignment horizontal="center" vertical="top" wrapText="1"/>
    </xf>
    <xf numFmtId="0" fontId="50" fillId="7" borderId="2" xfId="0" applyFont="1" applyFill="1" applyBorder="1" applyAlignment="1">
      <alignment vertical="center" wrapText="1"/>
    </xf>
    <xf numFmtId="0" fontId="94" fillId="0" borderId="2" xfId="0" applyFont="1" applyBorder="1" applyAlignment="1">
      <alignment vertical="center" wrapText="1"/>
    </xf>
    <xf numFmtId="0" fontId="47" fillId="0" borderId="6" xfId="0" applyFont="1" applyBorder="1" applyAlignment="1">
      <alignment horizontal="left" vertical="top" wrapText="1" indent="1"/>
    </xf>
    <xf numFmtId="0" fontId="10" fillId="0" borderId="7" xfId="0" applyFont="1" applyBorder="1" applyAlignment="1">
      <alignment horizontal="left" vertical="top" wrapText="1" indent="1"/>
    </xf>
    <xf numFmtId="0" fontId="10" fillId="0" borderId="8" xfId="0" applyFont="1" applyBorder="1" applyAlignment="1">
      <alignment horizontal="left" vertical="top" wrapText="1" indent="1"/>
    </xf>
    <xf numFmtId="0" fontId="10" fillId="0" borderId="9" xfId="0" applyFont="1" applyBorder="1" applyAlignment="1">
      <alignment horizontal="left" vertical="top" wrapText="1" indent="1"/>
    </xf>
    <xf numFmtId="0" fontId="9" fillId="0" borderId="14" xfId="0" applyFont="1" applyBorder="1" applyAlignment="1">
      <alignment horizontal="left" vertical="top" wrapText="1" indent="1"/>
    </xf>
    <xf numFmtId="0" fontId="10" fillId="0" borderId="15" xfId="0" applyFont="1" applyBorder="1" applyAlignment="1">
      <alignment horizontal="left" vertical="top" wrapText="1" indent="1"/>
    </xf>
    <xf numFmtId="0" fontId="0" fillId="0" borderId="8" xfId="0" applyBorder="1" applyAlignment="1">
      <alignment horizontal="left" vertical="top" wrapText="1" indent="1"/>
    </xf>
    <xf numFmtId="0" fontId="45" fillId="9" borderId="3" xfId="0" applyFont="1" applyFill="1" applyBorder="1" applyAlignment="1">
      <alignment horizontal="left"/>
    </xf>
    <xf numFmtId="0" fontId="45" fillId="9" borderId="4" xfId="0" applyFont="1" applyFill="1" applyBorder="1" applyAlignment="1">
      <alignment horizontal="left"/>
    </xf>
    <xf numFmtId="0" fontId="45" fillId="9" borderId="5" xfId="0" applyFont="1" applyFill="1" applyBorder="1" applyAlignment="1">
      <alignment horizontal="left"/>
    </xf>
    <xf numFmtId="0" fontId="10" fillId="0" borderId="14" xfId="0" applyFont="1" applyBorder="1" applyAlignment="1">
      <alignment horizontal="left" vertical="top" wrapText="1" indent="1"/>
    </xf>
    <xf numFmtId="0" fontId="44" fillId="9" borderId="3" xfId="0" applyFont="1" applyFill="1" applyBorder="1" applyAlignment="1">
      <alignment horizontal="left"/>
    </xf>
    <xf numFmtId="0" fontId="44" fillId="9" borderId="4" xfId="0" applyFont="1" applyFill="1" applyBorder="1" applyAlignment="1">
      <alignment horizontal="left"/>
    </xf>
    <xf numFmtId="0" fontId="44" fillId="9" borderId="5" xfId="0" applyFont="1" applyFill="1" applyBorder="1" applyAlignment="1">
      <alignment horizontal="left"/>
    </xf>
    <xf numFmtId="0" fontId="45" fillId="15" borderId="14" xfId="0" applyFont="1" applyFill="1" applyBorder="1" applyAlignment="1">
      <alignment horizontal="left" vertical="center" wrapText="1" indent="2"/>
    </xf>
    <xf numFmtId="0" fontId="0" fillId="0" borderId="1" xfId="0" applyBorder="1" applyAlignment="1">
      <alignment horizontal="left" vertical="center" wrapText="1" indent="2"/>
    </xf>
    <xf numFmtId="0" fontId="16" fillId="0" borderId="0" xfId="0" applyFont="1" applyAlignment="1">
      <alignment horizontal="center"/>
    </xf>
    <xf numFmtId="0" fontId="16" fillId="0" borderId="2" xfId="0" applyFont="1" applyBorder="1" applyAlignment="1">
      <alignment horizontal="center"/>
    </xf>
    <xf numFmtId="0" fontId="16" fillId="7" borderId="2" xfId="0" applyFont="1" applyFill="1" applyBorder="1" applyAlignment="1">
      <alignment horizontal="center"/>
    </xf>
    <xf numFmtId="0" fontId="0" fillId="0" borderId="2" xfId="0" applyBorder="1" applyAlignment="1">
      <alignment horizontal="center"/>
    </xf>
    <xf numFmtId="0" fontId="44" fillId="2" borderId="2" xfId="0" applyFont="1" applyFill="1" applyBorder="1" applyAlignment="1">
      <alignment horizontal="center" vertical="center" wrapText="1"/>
    </xf>
    <xf numFmtId="0" fontId="41" fillId="6" borderId="3" xfId="0" applyFont="1"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33" fillId="5" borderId="0" xfId="5" applyFont="1" applyFill="1" applyAlignment="1">
      <alignment horizontal="left" vertical="center" indent="1"/>
    </xf>
    <xf numFmtId="0" fontId="35" fillId="5" borderId="0" xfId="5" quotePrefix="1" applyFont="1" applyFill="1" applyAlignment="1">
      <alignment horizontal="left" vertical="center" indent="1"/>
    </xf>
    <xf numFmtId="0" fontId="35" fillId="5" borderId="0" xfId="5" applyFont="1" applyFill="1" applyAlignment="1">
      <alignment horizontal="left" vertical="center" indent="1"/>
    </xf>
    <xf numFmtId="0" fontId="35" fillId="5" borderId="0" xfId="5" applyFont="1" applyFill="1" applyAlignment="1">
      <alignment horizontal="left" indent="1"/>
    </xf>
    <xf numFmtId="0" fontId="35" fillId="7" borderId="0" xfId="5" applyFont="1" applyFill="1" applyAlignment="1">
      <alignment horizontal="left" indent="1"/>
    </xf>
    <xf numFmtId="0" fontId="33" fillId="7" borderId="0" xfId="5" applyFont="1" applyFill="1" applyAlignment="1">
      <alignment horizontal="left" indent="1"/>
    </xf>
    <xf numFmtId="0" fontId="35" fillId="5" borderId="0" xfId="5" quotePrefix="1" applyFont="1" applyFill="1" applyAlignment="1">
      <alignment horizontal="left" indent="1"/>
    </xf>
    <xf numFmtId="0" fontId="35" fillId="7" borderId="0" xfId="5" quotePrefix="1" applyFont="1" applyFill="1" applyAlignment="1">
      <alignment horizontal="left" indent="1"/>
    </xf>
    <xf numFmtId="0" fontId="33" fillId="5" borderId="0" xfId="5" applyFont="1" applyFill="1" applyAlignment="1">
      <alignment horizontal="left" indent="1"/>
    </xf>
  </cellXfs>
  <cellStyles count="10">
    <cellStyle name="Hyperlink" xfId="2" builtinId="8"/>
    <cellStyle name="Hyperlink 2" xfId="4"/>
    <cellStyle name="Hyperlink 2 2" xfId="8"/>
    <cellStyle name="Hyperlink 2 3" xfId="9"/>
    <cellStyle name="Normal" xfId="0" builtinId="0"/>
    <cellStyle name="Normal 2" xfId="7"/>
    <cellStyle name="Normal 2 2" xfId="5"/>
    <cellStyle name="Normal_01 DUPAK-PP-118-1996-GEMBONG" xfId="6"/>
    <cellStyle name="Normal_01 KUANTITAS DOK PNGWAS" xfId="3"/>
    <cellStyle name="Percent" xfId="1" builtinId="5"/>
  </cellStyles>
  <dxfs count="0"/>
  <tableStyles count="0" defaultTableStyle="TableStyleMedium2" defaultPivotStyle="PivotStyleLight16"/>
  <colors>
    <mruColors>
      <color rgb="FF800000"/>
      <color rgb="FFF1C5E2"/>
      <color rgb="FFEBAFD7"/>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'POLA DISTRIBUSI'!$F$3</c:f>
              <c:strCache>
                <c:ptCount val="1"/>
                <c:pt idx="0">
                  <c:v>KURVA DISTRIBUSI PREDIKAT KINERA PEGAWAI DENGAN CAPAIAN KINERJA ORGANISASI BAIK</c:v>
                </c:pt>
              </c:strCache>
            </c:strRef>
          </c:tx>
          <c:spPr>
            <a:ln w="19050" cap="rnd">
              <a:solidFill>
                <a:schemeClr val="tx1"/>
              </a:solidFill>
              <a:round/>
            </a:ln>
            <a:effectLst/>
          </c:spPr>
          <c:marker>
            <c:symbol val="none"/>
          </c:marker>
          <c:cat>
            <c:strRef>
              <c:f>'POLA DISTRIBUSI'!$E$4:$E$8</c:f>
              <c:strCache>
                <c:ptCount val="5"/>
                <c:pt idx="0">
                  <c:v>Sangat Kurang</c:v>
                </c:pt>
                <c:pt idx="1">
                  <c:v>Kurang/ Misconduct</c:v>
                </c:pt>
                <c:pt idx="2">
                  <c:v>Butuh Perbaikan</c:v>
                </c:pt>
                <c:pt idx="3">
                  <c:v>Baik</c:v>
                </c:pt>
                <c:pt idx="4">
                  <c:v>Sangat Baik</c:v>
                </c:pt>
              </c:strCache>
            </c:strRef>
          </c:cat>
          <c:val>
            <c:numRef>
              <c:f>'POLA DISTRIBUSI'!$F$4:$F$8</c:f>
              <c:numCache>
                <c:formatCode>General</c:formatCode>
                <c:ptCount val="5"/>
                <c:pt idx="0">
                  <c:v>0</c:v>
                </c:pt>
                <c:pt idx="1">
                  <c:v>0</c:v>
                </c:pt>
                <c:pt idx="2">
                  <c:v>1</c:v>
                </c:pt>
                <c:pt idx="3">
                  <c:v>16</c:v>
                </c:pt>
                <c:pt idx="4">
                  <c:v>2</c:v>
                </c:pt>
              </c:numCache>
            </c:numRef>
          </c:val>
          <c:smooth val="1"/>
          <c:extLst xmlns:c16r2="http://schemas.microsoft.com/office/drawing/2015/06/chart">
            <c:ext xmlns:c16="http://schemas.microsoft.com/office/drawing/2014/chart" uri="{C3380CC4-5D6E-409C-BE32-E72D297353CC}">
              <c16:uniqueId val="{00000000-3BDC-4B24-A890-20EB1FC8CF13}"/>
            </c:ext>
          </c:extLst>
        </c:ser>
        <c:dLbls>
          <c:showLegendKey val="0"/>
          <c:showVal val="0"/>
          <c:showCatName val="0"/>
          <c:showSerName val="0"/>
          <c:showPercent val="0"/>
          <c:showBubbleSize val="0"/>
        </c:dLbls>
        <c:marker val="1"/>
        <c:smooth val="0"/>
        <c:axId val="150641280"/>
        <c:axId val="150803200"/>
      </c:lineChart>
      <c:catAx>
        <c:axId val="150641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0803200"/>
        <c:crosses val="autoZero"/>
        <c:auto val="1"/>
        <c:lblAlgn val="ctr"/>
        <c:lblOffset val="100"/>
        <c:noMultiLvlLbl val="1"/>
      </c:catAx>
      <c:valAx>
        <c:axId val="1508032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0641280"/>
        <c:crosses val="autoZero"/>
        <c:crossBetween val="between"/>
      </c:valAx>
      <c:spPr>
        <a:noFill/>
        <a:ln>
          <a:solidFill>
            <a:sysClr val="windowText" lastClr="000000"/>
          </a:solid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'POLA DISTRIBUSI'!$F$3</c:f>
              <c:strCache>
                <c:ptCount val="1"/>
                <c:pt idx="0">
                  <c:v>KURVA DISTRIBUSI PREDIKAT KINERA PEGAWAI DENGAN CAPAIAN KINERJA ORGANISASI BAIK</c:v>
                </c:pt>
              </c:strCache>
            </c:strRef>
          </c:tx>
          <c:spPr>
            <a:ln w="19050" cap="rnd">
              <a:solidFill>
                <a:schemeClr val="tx1"/>
              </a:solidFill>
              <a:round/>
            </a:ln>
            <a:effectLst/>
          </c:spPr>
          <c:marker>
            <c:symbol val="none"/>
          </c:marker>
          <c:cat>
            <c:strRef>
              <c:f>'POLA DISTRIBUSI'!$E$4:$E$8</c:f>
              <c:strCache>
                <c:ptCount val="5"/>
                <c:pt idx="0">
                  <c:v>Sangat Kurang</c:v>
                </c:pt>
                <c:pt idx="1">
                  <c:v>Kurang/ Misconduct</c:v>
                </c:pt>
                <c:pt idx="2">
                  <c:v>Butuh Perbaikan</c:v>
                </c:pt>
                <c:pt idx="3">
                  <c:v>Baik</c:v>
                </c:pt>
                <c:pt idx="4">
                  <c:v>Sangat Baik</c:v>
                </c:pt>
              </c:strCache>
            </c:strRef>
          </c:cat>
          <c:val>
            <c:numRef>
              <c:f>'POLA DISTRIBUSI'!$F$4:$F$8</c:f>
              <c:numCache>
                <c:formatCode>General</c:formatCode>
                <c:ptCount val="5"/>
                <c:pt idx="0">
                  <c:v>0</c:v>
                </c:pt>
                <c:pt idx="1">
                  <c:v>0</c:v>
                </c:pt>
                <c:pt idx="2">
                  <c:v>1</c:v>
                </c:pt>
                <c:pt idx="3">
                  <c:v>16</c:v>
                </c:pt>
                <c:pt idx="4">
                  <c:v>2</c:v>
                </c:pt>
              </c:numCache>
            </c:numRef>
          </c:val>
          <c:smooth val="1"/>
          <c:extLst xmlns:c16r2="http://schemas.microsoft.com/office/drawing/2015/06/chart">
            <c:ext xmlns:c16="http://schemas.microsoft.com/office/drawing/2014/chart" uri="{C3380CC4-5D6E-409C-BE32-E72D297353CC}">
              <c16:uniqueId val="{00000000-3BDC-4B24-A890-20EB1FC8CF13}"/>
            </c:ext>
          </c:extLst>
        </c:ser>
        <c:dLbls>
          <c:showLegendKey val="0"/>
          <c:showVal val="0"/>
          <c:showCatName val="0"/>
          <c:showSerName val="0"/>
          <c:showPercent val="0"/>
          <c:showBubbleSize val="0"/>
        </c:dLbls>
        <c:marker val="1"/>
        <c:smooth val="0"/>
        <c:axId val="165333632"/>
        <c:axId val="165470592"/>
      </c:lineChart>
      <c:catAx>
        <c:axId val="165333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5470592"/>
        <c:crosses val="autoZero"/>
        <c:auto val="1"/>
        <c:lblAlgn val="ctr"/>
        <c:lblOffset val="100"/>
        <c:noMultiLvlLbl val="1"/>
      </c:catAx>
      <c:valAx>
        <c:axId val="1654705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5333632"/>
        <c:crosses val="autoZero"/>
        <c:crossBetween val="between"/>
      </c:valAx>
      <c:spPr>
        <a:noFill/>
        <a:ln>
          <a:solidFill>
            <a:sysClr val="windowText" lastClr="000000"/>
          </a:solid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'POLA DISTRIBUSI'!$C$3</c:f>
              <c:strCache>
                <c:ptCount val="1"/>
                <c:pt idx="0">
                  <c:v>Pola Distribusi</c:v>
                </c:pt>
              </c:strCache>
            </c:strRef>
          </c:tx>
          <c:spPr>
            <a:ln w="19050" cap="rnd">
              <a:solidFill>
                <a:schemeClr val="accent1"/>
              </a:solidFill>
              <a:round/>
            </a:ln>
            <a:effectLst/>
          </c:spPr>
          <c:marker>
            <c:symbol val="none"/>
          </c:marker>
          <c:xVal>
            <c:strRef>
              <c:f>'POLA DISTRIBUSI'!$B$4:$B$8</c:f>
              <c:strCache>
                <c:ptCount val="5"/>
                <c:pt idx="0">
                  <c:v>Sangat Kurang</c:v>
                </c:pt>
                <c:pt idx="1">
                  <c:v>Kurang/Misconduct</c:v>
                </c:pt>
                <c:pt idx="2">
                  <c:v>Butuh Perbaikan</c:v>
                </c:pt>
                <c:pt idx="3">
                  <c:v>Baik</c:v>
                </c:pt>
                <c:pt idx="4">
                  <c:v>Sangat Baik</c:v>
                </c:pt>
              </c:strCache>
            </c:strRef>
          </c:xVal>
          <c:yVal>
            <c:numRef>
              <c:f>'POLA DISTRIBUSI'!$C$4:$C$8</c:f>
              <c:numCache>
                <c:formatCode>General</c:formatCode>
                <c:ptCount val="5"/>
                <c:pt idx="0">
                  <c:v>0</c:v>
                </c:pt>
                <c:pt idx="1">
                  <c:v>0</c:v>
                </c:pt>
                <c:pt idx="2">
                  <c:v>0</c:v>
                </c:pt>
                <c:pt idx="3">
                  <c:v>16</c:v>
                </c:pt>
                <c:pt idx="4">
                  <c:v>1</c:v>
                </c:pt>
              </c:numCache>
            </c:numRef>
          </c:yVal>
          <c:smooth val="1"/>
          <c:extLst xmlns:c16r2="http://schemas.microsoft.com/office/drawing/2015/06/chart">
            <c:ext xmlns:c16="http://schemas.microsoft.com/office/drawing/2014/chart" uri="{C3380CC4-5D6E-409C-BE32-E72D297353CC}">
              <c16:uniqueId val="{00000000-DBD0-49E4-B18A-5D33BDBCD3E3}"/>
            </c:ext>
          </c:extLst>
        </c:ser>
        <c:dLbls>
          <c:showLegendKey val="0"/>
          <c:showVal val="0"/>
          <c:showCatName val="0"/>
          <c:showSerName val="0"/>
          <c:showPercent val="0"/>
          <c:showBubbleSize val="0"/>
        </c:dLbls>
        <c:axId val="190134528"/>
        <c:axId val="190136320"/>
      </c:scatterChart>
      <c:valAx>
        <c:axId val="1901345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36320"/>
        <c:crosses val="autoZero"/>
        <c:crossBetween val="midCat"/>
      </c:valAx>
      <c:valAx>
        <c:axId val="19013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34528"/>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a:t>KURVA DISTRIBUSI PREDIKAT KINERA PEGAWAI CAP. KINERJA ORGANISASI BAIK</a:t>
            </a:r>
          </a:p>
        </c:rich>
      </c:tx>
      <c:layout>
        <c:manualLayout>
          <c:xMode val="edge"/>
          <c:yMode val="edge"/>
          <c:x val="0.11383893666927287"/>
          <c:y val="2.6041666666666668E-2"/>
        </c:manualLayout>
      </c:layout>
      <c:overlay val="0"/>
      <c:spPr>
        <a:noFill/>
        <a:ln>
          <a:noFill/>
        </a:ln>
        <a:effectLst/>
      </c:spPr>
    </c:title>
    <c:autoTitleDeleted val="0"/>
    <c:plotArea>
      <c:layout/>
      <c:lineChart>
        <c:grouping val="standard"/>
        <c:varyColors val="0"/>
        <c:ser>
          <c:idx val="0"/>
          <c:order val="0"/>
          <c:tx>
            <c:strRef>
              <c:f>'POLA DISTRIBUSI'!$F$3</c:f>
              <c:strCache>
                <c:ptCount val="1"/>
                <c:pt idx="0">
                  <c:v>KURVA DISTRIBUSI PREDIKAT KINERA PEGAWAI DENGAN CAPAIAN KINERJA ORGANISASI BAIK</c:v>
                </c:pt>
              </c:strCache>
            </c:strRef>
          </c:tx>
          <c:spPr>
            <a:ln w="19050" cap="rnd">
              <a:solidFill>
                <a:schemeClr val="accent1"/>
              </a:solidFill>
              <a:round/>
            </a:ln>
            <a:effectLst/>
          </c:spPr>
          <c:marker>
            <c:symbol val="none"/>
          </c:marker>
          <c:cat>
            <c:strRef>
              <c:f>'POLA DISTRIBUSI'!$E$4:$E$8</c:f>
              <c:strCache>
                <c:ptCount val="5"/>
                <c:pt idx="0">
                  <c:v>Sangat Kurang</c:v>
                </c:pt>
                <c:pt idx="1">
                  <c:v>Kurang/ Misconduct</c:v>
                </c:pt>
                <c:pt idx="2">
                  <c:v>Butuh Perbaikan</c:v>
                </c:pt>
                <c:pt idx="3">
                  <c:v>Baik</c:v>
                </c:pt>
                <c:pt idx="4">
                  <c:v>Sangat Baik</c:v>
                </c:pt>
              </c:strCache>
            </c:strRef>
          </c:cat>
          <c:val>
            <c:numRef>
              <c:f>'POLA DISTRIBUSI'!$F$4:$F$8</c:f>
              <c:numCache>
                <c:formatCode>General</c:formatCode>
                <c:ptCount val="5"/>
                <c:pt idx="0">
                  <c:v>0</c:v>
                </c:pt>
                <c:pt idx="1">
                  <c:v>0</c:v>
                </c:pt>
                <c:pt idx="2">
                  <c:v>1</c:v>
                </c:pt>
                <c:pt idx="3">
                  <c:v>16</c:v>
                </c:pt>
                <c:pt idx="4">
                  <c:v>2</c:v>
                </c:pt>
              </c:numCache>
            </c:numRef>
          </c:val>
          <c:smooth val="1"/>
          <c:extLst xmlns:c16r2="http://schemas.microsoft.com/office/drawing/2015/06/chart">
            <c:ext xmlns:c16="http://schemas.microsoft.com/office/drawing/2014/chart" uri="{C3380CC4-5D6E-409C-BE32-E72D297353CC}">
              <c16:uniqueId val="{00000000-D1E4-412C-9B11-07D5EC12371C}"/>
            </c:ext>
          </c:extLst>
        </c:ser>
        <c:dLbls>
          <c:showLegendKey val="0"/>
          <c:showVal val="0"/>
          <c:showCatName val="0"/>
          <c:showSerName val="0"/>
          <c:showPercent val="0"/>
          <c:showBubbleSize val="0"/>
        </c:dLbls>
        <c:marker val="1"/>
        <c:smooth val="0"/>
        <c:axId val="190165376"/>
        <c:axId val="190166912"/>
      </c:lineChart>
      <c:catAx>
        <c:axId val="190165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66912"/>
        <c:crosses val="autoZero"/>
        <c:auto val="1"/>
        <c:lblAlgn val="ctr"/>
        <c:lblOffset val="100"/>
        <c:noMultiLvlLbl val="1"/>
      </c:catAx>
      <c:valAx>
        <c:axId val="19016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653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'POLA DISTRIBUSI'!$I$3</c:f>
              <c:strCache>
                <c:ptCount val="1"/>
                <c:pt idx="0">
                  <c:v>Pola Distribusi</c:v>
                </c:pt>
              </c:strCache>
            </c:strRef>
          </c:tx>
          <c:spPr>
            <a:ln w="19050" cap="rnd">
              <a:solidFill>
                <a:schemeClr val="accent1"/>
              </a:solidFill>
              <a:round/>
            </a:ln>
            <a:effectLst/>
          </c:spPr>
          <c:marker>
            <c:symbol val="none"/>
          </c:marker>
          <c:xVal>
            <c:strRef>
              <c:f>'POLA DISTRIBUSI'!$H$4:$H$8</c:f>
              <c:strCache>
                <c:ptCount val="5"/>
                <c:pt idx="0">
                  <c:v>Sangat Kurang</c:v>
                </c:pt>
                <c:pt idx="1">
                  <c:v>Kurang/Misconduct</c:v>
                </c:pt>
                <c:pt idx="2">
                  <c:v>Butuh Perbaikan</c:v>
                </c:pt>
                <c:pt idx="3">
                  <c:v>Baik</c:v>
                </c:pt>
                <c:pt idx="4">
                  <c:v>Sangat Baik</c:v>
                </c:pt>
              </c:strCache>
            </c:strRef>
          </c:xVal>
          <c:yVal>
            <c:numRef>
              <c:f>'POLA DISTRIBUSI'!$I$4:$I$8</c:f>
              <c:numCache>
                <c:formatCode>General</c:formatCode>
                <c:ptCount val="5"/>
                <c:pt idx="0">
                  <c:v>3</c:v>
                </c:pt>
                <c:pt idx="1">
                  <c:v>4</c:v>
                </c:pt>
                <c:pt idx="2">
                  <c:v>10</c:v>
                </c:pt>
                <c:pt idx="3">
                  <c:v>4</c:v>
                </c:pt>
                <c:pt idx="4">
                  <c:v>3</c:v>
                </c:pt>
              </c:numCache>
            </c:numRef>
          </c:yVal>
          <c:smooth val="1"/>
          <c:extLst xmlns:c16r2="http://schemas.microsoft.com/office/drawing/2015/06/chart">
            <c:ext xmlns:c16="http://schemas.microsoft.com/office/drawing/2014/chart" uri="{C3380CC4-5D6E-409C-BE32-E72D297353CC}">
              <c16:uniqueId val="{00000000-4BB7-4505-A50D-F097C020D4BC}"/>
            </c:ext>
          </c:extLst>
        </c:ser>
        <c:dLbls>
          <c:showLegendKey val="0"/>
          <c:showVal val="0"/>
          <c:showCatName val="0"/>
          <c:showSerName val="0"/>
          <c:showPercent val="0"/>
          <c:showBubbleSize val="0"/>
        </c:dLbls>
        <c:axId val="189483264"/>
        <c:axId val="189489152"/>
      </c:scatterChart>
      <c:valAx>
        <c:axId val="18948326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9152"/>
        <c:crosses val="autoZero"/>
        <c:crossBetween val="midCat"/>
      </c:valAx>
      <c:valAx>
        <c:axId val="18948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3264"/>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'POLA DISTRIBUSI'!$L$3</c:f>
              <c:strCache>
                <c:ptCount val="1"/>
                <c:pt idx="0">
                  <c:v>Pola Distribusi</c:v>
                </c:pt>
              </c:strCache>
            </c:strRef>
          </c:tx>
          <c:spPr>
            <a:ln w="19050" cap="rnd">
              <a:solidFill>
                <a:schemeClr val="accent1"/>
              </a:solidFill>
              <a:round/>
            </a:ln>
            <a:effectLst/>
          </c:spPr>
          <c:marker>
            <c:symbol val="none"/>
          </c:marker>
          <c:xVal>
            <c:strRef>
              <c:f>'POLA DISTRIBUSI'!$K$4:$K$8</c:f>
              <c:strCache>
                <c:ptCount val="5"/>
                <c:pt idx="0">
                  <c:v>Sangat Kurang</c:v>
                </c:pt>
                <c:pt idx="1">
                  <c:v>Kurang/Misconduct</c:v>
                </c:pt>
                <c:pt idx="2">
                  <c:v>Butuh Perbaikan</c:v>
                </c:pt>
                <c:pt idx="3">
                  <c:v>Baik</c:v>
                </c:pt>
                <c:pt idx="4">
                  <c:v>Sangat Baik</c:v>
                </c:pt>
              </c:strCache>
            </c:strRef>
          </c:xVal>
          <c:yVal>
            <c:numRef>
              <c:f>'POLA DISTRIBUSI'!$L$4:$L$8</c:f>
              <c:numCache>
                <c:formatCode>General</c:formatCode>
                <c:ptCount val="5"/>
                <c:pt idx="0">
                  <c:v>2</c:v>
                </c:pt>
                <c:pt idx="1">
                  <c:v>11</c:v>
                </c:pt>
                <c:pt idx="2">
                  <c:v>6</c:v>
                </c:pt>
                <c:pt idx="3">
                  <c:v>3</c:v>
                </c:pt>
                <c:pt idx="4">
                  <c:v>2</c:v>
                </c:pt>
              </c:numCache>
            </c:numRef>
          </c:yVal>
          <c:smooth val="1"/>
          <c:extLst xmlns:c16r2="http://schemas.microsoft.com/office/drawing/2015/06/chart">
            <c:ext xmlns:c16="http://schemas.microsoft.com/office/drawing/2014/chart" uri="{C3380CC4-5D6E-409C-BE32-E72D297353CC}">
              <c16:uniqueId val="{00000000-6957-4807-98E1-545CA11800AE}"/>
            </c:ext>
          </c:extLst>
        </c:ser>
        <c:dLbls>
          <c:showLegendKey val="0"/>
          <c:showVal val="0"/>
          <c:showCatName val="0"/>
          <c:showSerName val="0"/>
          <c:showPercent val="0"/>
          <c:showBubbleSize val="0"/>
        </c:dLbls>
        <c:axId val="200696192"/>
        <c:axId val="200697728"/>
      </c:scatterChart>
      <c:valAx>
        <c:axId val="20069619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97728"/>
        <c:crosses val="autoZero"/>
        <c:crossBetween val="midCat"/>
      </c:valAx>
      <c:valAx>
        <c:axId val="20069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96192"/>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'POLA DISTRIBUSI'!$O$3</c:f>
              <c:strCache>
                <c:ptCount val="1"/>
                <c:pt idx="0">
                  <c:v>Pola Distribusi</c:v>
                </c:pt>
              </c:strCache>
            </c:strRef>
          </c:tx>
          <c:spPr>
            <a:ln w="19050" cap="rnd">
              <a:solidFill>
                <a:schemeClr val="accent1"/>
              </a:solidFill>
              <a:round/>
            </a:ln>
            <a:effectLst/>
          </c:spPr>
          <c:marker>
            <c:symbol val="none"/>
          </c:marker>
          <c:xVal>
            <c:strRef>
              <c:f>'POLA DISTRIBUSI'!$N$4:$N$8</c:f>
              <c:strCache>
                <c:ptCount val="5"/>
                <c:pt idx="0">
                  <c:v>Sangat Kurang</c:v>
                </c:pt>
                <c:pt idx="1">
                  <c:v>Kurang/Misconduct</c:v>
                </c:pt>
                <c:pt idx="2">
                  <c:v>Butuh Perbaikan</c:v>
                </c:pt>
                <c:pt idx="3">
                  <c:v>Baik</c:v>
                </c:pt>
                <c:pt idx="4">
                  <c:v>Sangat Baik</c:v>
                </c:pt>
              </c:strCache>
            </c:strRef>
          </c:xVal>
          <c:yVal>
            <c:numRef>
              <c:f>'POLA DISTRIBUSI'!$O$4:$O$8</c:f>
              <c:numCache>
                <c:formatCode>General</c:formatCode>
                <c:ptCount val="5"/>
                <c:pt idx="0">
                  <c:v>13</c:v>
                </c:pt>
                <c:pt idx="1">
                  <c:v>7</c:v>
                </c:pt>
                <c:pt idx="2">
                  <c:v>3</c:v>
                </c:pt>
                <c:pt idx="3">
                  <c:v>1</c:v>
                </c:pt>
                <c:pt idx="4">
                  <c:v>0</c:v>
                </c:pt>
              </c:numCache>
            </c:numRef>
          </c:yVal>
          <c:smooth val="1"/>
          <c:extLst xmlns:c16r2="http://schemas.microsoft.com/office/drawing/2015/06/chart">
            <c:ext xmlns:c16="http://schemas.microsoft.com/office/drawing/2014/chart" uri="{C3380CC4-5D6E-409C-BE32-E72D297353CC}">
              <c16:uniqueId val="{00000000-61CA-4262-9240-24FE7AE0C616}"/>
            </c:ext>
          </c:extLst>
        </c:ser>
        <c:dLbls>
          <c:showLegendKey val="0"/>
          <c:showVal val="0"/>
          <c:showCatName val="0"/>
          <c:showSerName val="0"/>
          <c:showPercent val="0"/>
          <c:showBubbleSize val="0"/>
        </c:dLbls>
        <c:axId val="191846656"/>
        <c:axId val="191856640"/>
      </c:scatterChart>
      <c:valAx>
        <c:axId val="19184665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56640"/>
        <c:crosses val="autoZero"/>
        <c:crossBetween val="midCat"/>
      </c:valAx>
      <c:valAx>
        <c:axId val="19185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46656"/>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hyperlink" Target="#'SKP JF (Kuantitatif)'!A1"/><Relationship Id="rId1" Type="http://schemas.openxmlformats.org/officeDocument/2006/relationships/hyperlink" Target="#'00 DATA'!A1"/></Relationships>
</file>

<file path=xl/drawings/_rels/drawing9.xml.rels><?xml version="1.0" encoding="UTF-8" standalone="yes"?>
<Relationships xmlns="http://schemas.openxmlformats.org/package/2006/relationships"><Relationship Id="rId8" Type="http://schemas.openxmlformats.org/officeDocument/2006/relationships/hyperlink" Target="#'MPH_1-2'!A1"/><Relationship Id="rId13" Type="http://schemas.openxmlformats.org/officeDocument/2006/relationships/hyperlink" Target="#'UMPAN-BALIK'!A1"/><Relationship Id="rId3" Type="http://schemas.openxmlformats.org/officeDocument/2006/relationships/hyperlink" Target="#'Evaluasi Kinerja Kuanti JF'!A1"/><Relationship Id="rId7" Type="http://schemas.openxmlformats.org/officeDocument/2006/relationships/hyperlink" Target="#COVER!A1"/><Relationship Id="rId12" Type="http://schemas.openxmlformats.org/officeDocument/2006/relationships/hyperlink" Target="#TUPOKSI!A1"/><Relationship Id="rId2" Type="http://schemas.openxmlformats.org/officeDocument/2006/relationships/hyperlink" Target="#Kuadran!A1"/><Relationship Id="rId16" Type="http://schemas.openxmlformats.org/officeDocument/2006/relationships/hyperlink" Target="#'DOK. EVALUASI KINERJA PEGAWAI'!A1"/><Relationship Id="rId1" Type="http://schemas.openxmlformats.org/officeDocument/2006/relationships/hyperlink" Target="#'00 DATA'!A1"/><Relationship Id="rId6" Type="http://schemas.openxmlformats.org/officeDocument/2006/relationships/hyperlink" Target="#'Dok. Evaluasi Kinerja Pegawai'!A1"/><Relationship Id="rId11" Type="http://schemas.openxmlformats.org/officeDocument/2006/relationships/hyperlink" Target="#'EVALUASI KINERJA KUANTI JF (2)'!A1"/><Relationship Id="rId5" Type="http://schemas.openxmlformats.org/officeDocument/2006/relationships/hyperlink" Target="#'Pola Distribusi'!A1"/><Relationship Id="rId15" Type="http://schemas.openxmlformats.org/officeDocument/2006/relationships/hyperlink" Target="#'EVALUASI KINERJA KUANTI JF'!A1"/><Relationship Id="rId10" Type="http://schemas.openxmlformats.org/officeDocument/2006/relationships/image" Target="../media/image3.jpg"/><Relationship Id="rId4" Type="http://schemas.openxmlformats.org/officeDocument/2006/relationships/hyperlink" Target="#BERAHLAK!A1"/><Relationship Id="rId9" Type="http://schemas.openxmlformats.org/officeDocument/2006/relationships/hyperlink" Target="#'SKP JF (Kuantitatif)'!A1"/><Relationship Id="rId14" Type="http://schemas.openxmlformats.org/officeDocument/2006/relationships/hyperlink" Target="#'SKP JF (KUANTITATIF)'!A1"/></Relationships>
</file>

<file path=xl/drawings/drawing1.xml><?xml version="1.0" encoding="utf-8"?>
<xdr:wsDr xmlns:xdr="http://schemas.openxmlformats.org/drawingml/2006/spreadsheetDrawing" xmlns:a="http://schemas.openxmlformats.org/drawingml/2006/main">
  <xdr:twoCellAnchor editAs="oneCell">
    <xdr:from>
      <xdr:col>4</xdr:col>
      <xdr:colOff>42334</xdr:colOff>
      <xdr:row>5</xdr:row>
      <xdr:rowOff>31750</xdr:rowOff>
    </xdr:from>
    <xdr:to>
      <xdr:col>5</xdr:col>
      <xdr:colOff>1642232</xdr:colOff>
      <xdr:row>13</xdr:row>
      <xdr:rowOff>190499</xdr:rowOff>
    </xdr:to>
    <xdr:pic>
      <xdr:nvPicPr>
        <xdr:cNvPr id="3" name="Picture 8">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83417" y="1100667"/>
          <a:ext cx="1938565" cy="17674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21166</xdr:colOff>
      <xdr:row>0</xdr:row>
      <xdr:rowOff>1</xdr:rowOff>
    </xdr:from>
    <xdr:to>
      <xdr:col>0</xdr:col>
      <xdr:colOff>412749</xdr:colOff>
      <xdr:row>1</xdr:row>
      <xdr:rowOff>9638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166" y="1"/>
          <a:ext cx="391583" cy="3694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11915</xdr:colOff>
      <xdr:row>37</xdr:row>
      <xdr:rowOff>11906</xdr:rowOff>
    </xdr:from>
    <xdr:to>
      <xdr:col>17</xdr:col>
      <xdr:colOff>571500</xdr:colOff>
      <xdr:row>67</xdr:row>
      <xdr:rowOff>178594</xdr:rowOff>
    </xdr:to>
    <xdr:sp macro="" textlink="">
      <xdr:nvSpPr>
        <xdr:cNvPr id="2" name="TextBox 1">
          <a:extLst>
            <a:ext uri="{FF2B5EF4-FFF2-40B4-BE49-F238E27FC236}">
              <a16:creationId xmlns:a16="http://schemas.microsoft.com/office/drawing/2014/main" xmlns="" id="{00000000-0008-0000-0100-000002000000}"/>
            </a:ext>
          </a:extLst>
        </xdr:cNvPr>
        <xdr:cNvSpPr txBox="1"/>
      </xdr:nvSpPr>
      <xdr:spPr>
        <a:xfrm>
          <a:off x="10977571" y="14704219"/>
          <a:ext cx="1940710" cy="9775031"/>
        </a:xfrm>
        <a:prstGeom prst="rect">
          <a:avLst/>
        </a:prstGeom>
        <a:solidFill>
          <a:srgbClr val="8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D" sz="1200">
            <a:solidFill>
              <a:schemeClr val="bg1"/>
            </a:solidFill>
          </a:endParaRPr>
        </a:p>
        <a:p>
          <a:r>
            <a:rPr lang="en-ID" sz="1200">
              <a:solidFill>
                <a:schemeClr val="bg1"/>
              </a:solidFill>
            </a:rPr>
            <a:t>Pada Lembar ini mengisi </a:t>
          </a:r>
          <a:r>
            <a:rPr lang="en-ID" sz="1200" b="1">
              <a:solidFill>
                <a:schemeClr val="bg1"/>
              </a:solidFill>
            </a:rPr>
            <a:t>PERILAKU KERJA </a:t>
          </a:r>
          <a:r>
            <a:rPr lang="en-ID" sz="1200">
              <a:solidFill>
                <a:schemeClr val="bg1"/>
              </a:solidFill>
            </a:rPr>
            <a:t>Berdasrkan Kondisi</a:t>
          </a:r>
          <a:r>
            <a:rPr lang="en-ID" sz="1200" baseline="0">
              <a:solidFill>
                <a:schemeClr val="bg1"/>
              </a:solidFill>
            </a:rPr>
            <a:t> Ideal</a:t>
          </a:r>
          <a:r>
            <a:rPr lang="en-ID" sz="1200">
              <a:solidFill>
                <a:schemeClr val="bg1"/>
              </a:solidFill>
            </a:rPr>
            <a:t>, dengan mengisi </a:t>
          </a:r>
          <a:r>
            <a:rPr lang="en-ID" sz="1200" b="1">
              <a:solidFill>
                <a:schemeClr val="bg1"/>
              </a:solidFill>
            </a:rPr>
            <a:t>"KODE"</a:t>
          </a:r>
          <a:r>
            <a:rPr lang="en-ID" sz="1200" baseline="0">
              <a:solidFill>
                <a:schemeClr val="bg1"/>
              </a:solidFill>
            </a:rPr>
            <a:t> sesuai dengan Nomor urut masing-masing baik Nomor utama dan sub-nya (Misalkan kode </a:t>
          </a:r>
          <a:r>
            <a:rPr lang="en-ID" sz="1200" b="1" baseline="0">
              <a:solidFill>
                <a:schemeClr val="bg1"/>
              </a:solidFill>
            </a:rPr>
            <a:t>"1"</a:t>
          </a:r>
          <a:r>
            <a:rPr lang="en-ID" sz="1200" baseline="0">
              <a:solidFill>
                <a:schemeClr val="bg1"/>
              </a:solidFill>
            </a:rPr>
            <a:t> Untuk Komponen </a:t>
          </a:r>
          <a:r>
            <a:rPr lang="en-ID" sz="1200" b="1" baseline="0">
              <a:solidFill>
                <a:schemeClr val="bg1"/>
              </a:solidFill>
            </a:rPr>
            <a:t>Berorientasi Pelayanan</a:t>
          </a:r>
          <a:r>
            <a:rPr lang="en-ID" sz="1200" baseline="0">
              <a:solidFill>
                <a:schemeClr val="bg1"/>
              </a:solidFill>
            </a:rPr>
            <a:t> dan </a:t>
          </a:r>
          <a:r>
            <a:rPr lang="en-ID" sz="1200" b="1" baseline="0">
              <a:solidFill>
                <a:schemeClr val="bg1"/>
              </a:solidFill>
            </a:rPr>
            <a:t>"1.1"</a:t>
          </a:r>
          <a:r>
            <a:rPr lang="en-ID" sz="1200" baseline="0">
              <a:solidFill>
                <a:schemeClr val="bg1"/>
              </a:solidFill>
            </a:rPr>
            <a:t> untuk </a:t>
          </a:r>
          <a:r>
            <a:rPr lang="en-ID" sz="1200" b="1" baseline="0">
              <a:solidFill>
                <a:schemeClr val="bg1"/>
              </a:solidFill>
            </a:rPr>
            <a:t>Melaksanakan tugas dengan jujur, </a:t>
          </a:r>
          <a:r>
            <a:rPr lang="en-ID" sz="1200" baseline="0">
              <a:solidFill>
                <a:schemeClr val="bg1"/>
              </a:solidFill>
            </a:rPr>
            <a:t> dan seterusnya. </a:t>
          </a:r>
        </a:p>
        <a:p>
          <a:endParaRPr lang="en-ID" sz="1200" b="1" baseline="0">
            <a:solidFill>
              <a:schemeClr val="bg1"/>
            </a:solidFill>
          </a:endParaRPr>
        </a:p>
        <a:p>
          <a:r>
            <a:rPr lang="en-ID" sz="1200" b="0" baseline="0">
              <a:solidFill>
                <a:schemeClr val="bg1"/>
              </a:solidFill>
            </a:rPr>
            <a:t>Termasuk dalam pengisian Penilaian</a:t>
          </a:r>
          <a:r>
            <a:rPr lang="en-ID" sz="1200" b="1" baseline="0">
              <a:solidFill>
                <a:schemeClr val="bg1"/>
              </a:solidFill>
            </a:rPr>
            <a:t> Ekspetasi Khusus Pimpinan</a:t>
          </a:r>
          <a:r>
            <a:rPr lang="en-ID" sz="1200" b="0" baseline="0">
              <a:solidFill>
                <a:schemeClr val="bg1"/>
              </a:solidFill>
            </a:rPr>
            <a:t>, pada kolom </a:t>
          </a:r>
          <a:r>
            <a:rPr lang="en-ID" sz="1200" b="1" baseline="0">
              <a:solidFill>
                <a:schemeClr val="bg1"/>
              </a:solidFill>
            </a:rPr>
            <a:t>EXPTSI,</a:t>
          </a:r>
          <a:r>
            <a:rPr lang="en-ID" sz="1200" b="0" baseline="0">
              <a:solidFill>
                <a:schemeClr val="bg1"/>
              </a:solidFill>
            </a:rPr>
            <a:t> kondisi Ekspetasi khusus ini dapat ditambahkan sesuai dengan hasil dialog / kesepakatan antara pegawai dan pimpinan</a:t>
          </a:r>
        </a:p>
        <a:p>
          <a:endParaRPr lang="en-ID" sz="1200" b="0" baseline="0">
            <a:solidFill>
              <a:schemeClr val="bg1"/>
            </a:solidFill>
          </a:endParaRPr>
        </a:p>
        <a:p>
          <a:r>
            <a:rPr lang="en-ID" sz="1200" b="0" baseline="0">
              <a:solidFill>
                <a:schemeClr val="bg1"/>
              </a:solidFill>
            </a:rPr>
            <a:t>(lihat Tabel </a:t>
          </a:r>
          <a:r>
            <a:rPr lang="en-ID" sz="1200" b="1" baseline="0">
              <a:solidFill>
                <a:schemeClr val="bg1"/>
              </a:solidFill>
            </a:rPr>
            <a:t>PERILAKU KERJA)</a:t>
          </a:r>
          <a:endParaRPr lang="en-ID" sz="1200" b="1">
            <a:solidFill>
              <a:schemeClr val="bg1"/>
            </a:solidFill>
          </a:endParaRPr>
        </a:p>
      </xdr:txBody>
    </xdr:sp>
    <xdr:clientData/>
  </xdr:twoCellAnchor>
  <xdr:twoCellAnchor>
    <xdr:from>
      <xdr:col>12</xdr:col>
      <xdr:colOff>3972</xdr:colOff>
      <xdr:row>69</xdr:row>
      <xdr:rowOff>161395</xdr:rowOff>
    </xdr:from>
    <xdr:to>
      <xdr:col>15</xdr:col>
      <xdr:colOff>33075</xdr:colOff>
      <xdr:row>72</xdr:row>
      <xdr:rowOff>324114</xdr:rowOff>
    </xdr:to>
    <xdr:sp macro="" textlink="">
      <xdr:nvSpPr>
        <xdr:cNvPr id="3" name="TextBox 2">
          <a:extLst>
            <a:ext uri="{FF2B5EF4-FFF2-40B4-BE49-F238E27FC236}">
              <a16:creationId xmlns:a16="http://schemas.microsoft.com/office/drawing/2014/main" xmlns="" id="{00000000-0008-0000-0100-000003000000}"/>
            </a:ext>
          </a:extLst>
        </xdr:cNvPr>
        <xdr:cNvSpPr txBox="1"/>
      </xdr:nvSpPr>
      <xdr:spPr>
        <a:xfrm>
          <a:off x="9243222" y="25152614"/>
          <a:ext cx="1755509" cy="96043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solidFill>
                <a:schemeClr val="bg1"/>
              </a:solidFill>
            </a:rPr>
            <a:t>Pada Lembar ini mengisi </a:t>
          </a:r>
          <a:r>
            <a:rPr lang="en-ID" sz="1400" b="1">
              <a:solidFill>
                <a:schemeClr val="bg1"/>
              </a:solidFill>
            </a:rPr>
            <a:t>DUKUNGAN SUMBER DAYA</a:t>
          </a:r>
          <a:r>
            <a:rPr lang="en-ID" sz="1400">
              <a:solidFill>
                <a:schemeClr val="bg1"/>
              </a:solidFill>
            </a:rPr>
            <a:t> dan </a:t>
          </a:r>
          <a:r>
            <a:rPr lang="en-ID" sz="1400" b="1">
              <a:solidFill>
                <a:schemeClr val="bg1"/>
              </a:solidFill>
            </a:rPr>
            <a:t>KONSEKUENSI</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1549400</xdr:colOff>
      <xdr:row>16</xdr:row>
      <xdr:rowOff>50800</xdr:rowOff>
    </xdr:from>
    <xdr:to>
      <xdr:col>9</xdr:col>
      <xdr:colOff>889000</xdr:colOff>
      <xdr:row>16</xdr:row>
      <xdr:rowOff>2316162</xdr:rowOff>
    </xdr:to>
    <xdr:graphicFrame macro="">
      <xdr:nvGraphicFramePr>
        <xdr:cNvPr id="2" name="Chart 1">
          <a:extLst>
            <a:ext uri="{FF2B5EF4-FFF2-40B4-BE49-F238E27FC236}">
              <a16:creationId xmlns:a16="http://schemas.microsoft.com/office/drawing/2014/main" xmlns=""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1951566</xdr:colOff>
      <xdr:row>1</xdr:row>
      <xdr:rowOff>40218</xdr:rowOff>
    </xdr:from>
    <xdr:to>
      <xdr:col>4</xdr:col>
      <xdr:colOff>942975</xdr:colOff>
      <xdr:row>9</xdr:row>
      <xdr:rowOff>135467</xdr:rowOff>
    </xdr:to>
    <xdr:pic>
      <xdr:nvPicPr>
        <xdr:cNvPr id="3" name="Picture 8">
          <a:extLst>
            <a:ext uri="{FF2B5EF4-FFF2-40B4-BE49-F238E27FC236}">
              <a16:creationId xmlns:a16="http://schemas.microsoft.com/office/drawing/2014/main" xmlns="" id="{00000000-0008-0000-0300-000003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56416" y="335493"/>
          <a:ext cx="1820334" cy="1619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1954741</xdr:colOff>
      <xdr:row>1</xdr:row>
      <xdr:rowOff>49743</xdr:rowOff>
    </xdr:from>
    <xdr:to>
      <xdr:col>4</xdr:col>
      <xdr:colOff>946150</xdr:colOff>
      <xdr:row>9</xdr:row>
      <xdr:rowOff>144992</xdr:rowOff>
    </xdr:to>
    <xdr:pic>
      <xdr:nvPicPr>
        <xdr:cNvPr id="2" name="Picture 8">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59591" y="345018"/>
          <a:ext cx="1820334" cy="1619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1485900</xdr:colOff>
      <xdr:row>16</xdr:row>
      <xdr:rowOff>50800</xdr:rowOff>
    </xdr:from>
    <xdr:to>
      <xdr:col>9</xdr:col>
      <xdr:colOff>800100</xdr:colOff>
      <xdr:row>16</xdr:row>
      <xdr:rowOff>2114550</xdr:rowOff>
    </xdr:to>
    <xdr:graphicFrame macro="">
      <xdr:nvGraphicFramePr>
        <xdr:cNvPr id="2" name="Chart 1">
          <a:extLst>
            <a:ext uri="{FF2B5EF4-FFF2-40B4-BE49-F238E27FC236}">
              <a16:creationId xmlns:a16="http://schemas.microsoft.com/office/drawing/2014/main" xmlns=""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101600</xdr:colOff>
      <xdr:row>0</xdr:row>
      <xdr:rowOff>88900</xdr:rowOff>
    </xdr:from>
    <xdr:to>
      <xdr:col>22</xdr:col>
      <xdr:colOff>584200</xdr:colOff>
      <xdr:row>3</xdr:row>
      <xdr:rowOff>165100</xdr:rowOff>
    </xdr:to>
    <xdr:sp macro="" textlink="">
      <xdr:nvSpPr>
        <xdr:cNvPr id="7" name="TextBox 6">
          <a:extLst>
            <a:ext uri="{FF2B5EF4-FFF2-40B4-BE49-F238E27FC236}">
              <a16:creationId xmlns:a16="http://schemas.microsoft.com/office/drawing/2014/main" xmlns="" id="{00000000-0008-0000-0500-000007000000}"/>
            </a:ext>
          </a:extLst>
        </xdr:cNvPr>
        <xdr:cNvSpPr txBox="1"/>
      </xdr:nvSpPr>
      <xdr:spPr>
        <a:xfrm>
          <a:off x="14439900" y="88900"/>
          <a:ext cx="3302000" cy="8255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solidFill>
                <a:schemeClr val="bg1"/>
              </a:solidFill>
            </a:rPr>
            <a:t>Pada Lembar ini mengisi Nilai Relatif </a:t>
          </a:r>
          <a:r>
            <a:rPr lang="en-ID" sz="1400" b="1">
              <a:solidFill>
                <a:schemeClr val="bg1"/>
              </a:solidFill>
            </a:rPr>
            <a:t>REALISASI </a:t>
          </a:r>
          <a:r>
            <a:rPr lang="en-ID" sz="1400">
              <a:solidFill>
                <a:schemeClr val="bg1"/>
              </a:solidFill>
            </a:rPr>
            <a:t>Berdasrkan Bukti Dukung yang dilakukan oleh </a:t>
          </a:r>
          <a:r>
            <a:rPr lang="en-ID" sz="1400" baseline="0">
              <a:solidFill>
                <a:schemeClr val="bg1"/>
              </a:solidFill>
            </a:rPr>
            <a:t>Pimpinan </a:t>
          </a:r>
          <a:endParaRPr lang="en-ID" sz="1400" b="1">
            <a:solidFill>
              <a:schemeClr val="bg1"/>
            </a:solidFill>
          </a:endParaRPr>
        </a:p>
      </xdr:txBody>
    </xdr:sp>
    <xdr:clientData/>
  </xdr:twoCellAnchor>
  <xdr:twoCellAnchor>
    <xdr:from>
      <xdr:col>17</xdr:col>
      <xdr:colOff>69848</xdr:colOff>
      <xdr:row>42</xdr:row>
      <xdr:rowOff>25400</xdr:rowOff>
    </xdr:from>
    <xdr:to>
      <xdr:col>23</xdr:col>
      <xdr:colOff>0</xdr:colOff>
      <xdr:row>44</xdr:row>
      <xdr:rowOff>152400</xdr:rowOff>
    </xdr:to>
    <xdr:sp macro="" textlink="">
      <xdr:nvSpPr>
        <xdr:cNvPr id="8" name="TextBox 7">
          <a:extLst>
            <a:ext uri="{FF2B5EF4-FFF2-40B4-BE49-F238E27FC236}">
              <a16:creationId xmlns:a16="http://schemas.microsoft.com/office/drawing/2014/main" xmlns="" id="{00000000-0008-0000-0500-000008000000}"/>
            </a:ext>
          </a:extLst>
        </xdr:cNvPr>
        <xdr:cNvSpPr txBox="1"/>
      </xdr:nvSpPr>
      <xdr:spPr>
        <a:xfrm>
          <a:off x="16579848" y="25184100"/>
          <a:ext cx="3676652" cy="1028700"/>
        </a:xfrm>
        <a:prstGeom prst="rect">
          <a:avLst/>
        </a:prstGeom>
        <a:solidFill>
          <a:srgbClr val="8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solidFill>
                <a:schemeClr val="bg1"/>
              </a:solidFill>
            </a:rPr>
            <a:t>Penilai menetapkan </a:t>
          </a:r>
          <a:r>
            <a:rPr lang="en-ID" sz="1400" b="1">
              <a:solidFill>
                <a:schemeClr val="bg1"/>
              </a:solidFill>
            </a:rPr>
            <a:t>Predikat</a:t>
          </a:r>
          <a:r>
            <a:rPr lang="en-ID" sz="1400" b="1" baseline="0">
              <a:solidFill>
                <a:schemeClr val="bg1"/>
              </a:solidFill>
            </a:rPr>
            <a:t> Hasil Kerja </a:t>
          </a:r>
          <a:r>
            <a:rPr lang="en-ID" sz="1400">
              <a:solidFill>
                <a:schemeClr val="bg1"/>
              </a:solidFill>
            </a:rPr>
            <a:t>Berdasrkan Bukti Dukung Apakah</a:t>
          </a:r>
          <a:r>
            <a:rPr lang="en-ID" sz="1400" baseline="0">
              <a:solidFill>
                <a:schemeClr val="bg1"/>
              </a:solidFill>
            </a:rPr>
            <a:t> </a:t>
          </a:r>
          <a:r>
            <a:rPr lang="en-ID" sz="1400" b="1" baseline="0">
              <a:solidFill>
                <a:schemeClr val="bg1"/>
              </a:solidFill>
            </a:rPr>
            <a:t>Sesuai Ekspetasi, Di Bawah atau Di atas Ekspetasi</a:t>
          </a:r>
          <a:endParaRPr lang="en-ID" sz="1400" b="1">
            <a:solidFill>
              <a:schemeClr val="bg1"/>
            </a:solidFill>
          </a:endParaRPr>
        </a:p>
      </xdr:txBody>
    </xdr:sp>
    <xdr:clientData/>
  </xdr:twoCellAnchor>
  <xdr:twoCellAnchor>
    <xdr:from>
      <xdr:col>17</xdr:col>
      <xdr:colOff>63500</xdr:colOff>
      <xdr:row>78</xdr:row>
      <xdr:rowOff>25400</xdr:rowOff>
    </xdr:from>
    <xdr:to>
      <xdr:col>23</xdr:col>
      <xdr:colOff>63500</xdr:colOff>
      <xdr:row>83</xdr:row>
      <xdr:rowOff>0</xdr:rowOff>
    </xdr:to>
    <xdr:sp macro="" textlink="">
      <xdr:nvSpPr>
        <xdr:cNvPr id="9" name="TextBox 8">
          <a:extLst>
            <a:ext uri="{FF2B5EF4-FFF2-40B4-BE49-F238E27FC236}">
              <a16:creationId xmlns:a16="http://schemas.microsoft.com/office/drawing/2014/main" xmlns="" id="{00000000-0008-0000-0500-000009000000}"/>
            </a:ext>
          </a:extLst>
        </xdr:cNvPr>
        <xdr:cNvSpPr txBox="1"/>
      </xdr:nvSpPr>
      <xdr:spPr>
        <a:xfrm>
          <a:off x="15252700" y="39814500"/>
          <a:ext cx="3746500" cy="9906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solidFill>
                <a:schemeClr val="bg1"/>
              </a:solidFill>
            </a:rPr>
            <a:t>Penilai menetapkan </a:t>
          </a:r>
          <a:r>
            <a:rPr lang="en-ID" sz="1400" b="1">
              <a:solidFill>
                <a:schemeClr val="bg1"/>
              </a:solidFill>
            </a:rPr>
            <a:t>Perilaku</a:t>
          </a:r>
          <a:r>
            <a:rPr lang="en-ID" sz="1400" b="1" baseline="0">
              <a:solidFill>
                <a:schemeClr val="bg1"/>
              </a:solidFill>
            </a:rPr>
            <a:t> Kerja </a:t>
          </a:r>
          <a:r>
            <a:rPr lang="en-ID" sz="1400">
              <a:solidFill>
                <a:schemeClr val="bg1"/>
              </a:solidFill>
            </a:rPr>
            <a:t>Berdasrkan Bukti Dukung Apakah</a:t>
          </a:r>
          <a:r>
            <a:rPr lang="en-ID" sz="1400" baseline="0">
              <a:solidFill>
                <a:schemeClr val="bg1"/>
              </a:solidFill>
            </a:rPr>
            <a:t> </a:t>
          </a:r>
          <a:r>
            <a:rPr lang="en-ID" sz="1400" b="1" baseline="0">
              <a:solidFill>
                <a:schemeClr val="bg1"/>
              </a:solidFill>
            </a:rPr>
            <a:t>Sesuai Ekspetasi, Di Bawah atau Di atas Ekspetasi</a:t>
          </a:r>
          <a:endParaRPr lang="en-ID" sz="1400" b="1">
            <a:solidFill>
              <a:schemeClr val="bg1"/>
            </a:solidFill>
          </a:endParaRPr>
        </a:p>
      </xdr:txBody>
    </xdr:sp>
    <xdr:clientData/>
  </xdr:twoCellAnchor>
  <xdr:twoCellAnchor>
    <xdr:from>
      <xdr:col>19</xdr:col>
      <xdr:colOff>584201</xdr:colOff>
      <xdr:row>46</xdr:row>
      <xdr:rowOff>11896</xdr:rowOff>
    </xdr:from>
    <xdr:to>
      <xdr:col>22</xdr:col>
      <xdr:colOff>608013</xdr:colOff>
      <xdr:row>72</xdr:row>
      <xdr:rowOff>285733</xdr:rowOff>
    </xdr:to>
    <xdr:grpSp>
      <xdr:nvGrpSpPr>
        <xdr:cNvPr id="3" name="Group 2">
          <a:extLst>
            <a:ext uri="{FF2B5EF4-FFF2-40B4-BE49-F238E27FC236}">
              <a16:creationId xmlns:a16="http://schemas.microsoft.com/office/drawing/2014/main" xmlns="" id="{00000000-0008-0000-0500-000003000000}"/>
            </a:ext>
          </a:extLst>
        </xdr:cNvPr>
        <xdr:cNvGrpSpPr/>
      </xdr:nvGrpSpPr>
      <xdr:grpSpPr>
        <a:xfrm>
          <a:off x="16789401" y="21678096"/>
          <a:ext cx="1941512" cy="11653037"/>
          <a:chOff x="15442407" y="25419842"/>
          <a:chExt cx="1619250" cy="11497691"/>
        </a:xfrm>
      </xdr:grpSpPr>
      <xdr:sp macro="" textlink="">
        <xdr:nvSpPr>
          <xdr:cNvPr id="6" name="TextBox 5">
            <a:extLst>
              <a:ext uri="{FF2B5EF4-FFF2-40B4-BE49-F238E27FC236}">
                <a16:creationId xmlns:a16="http://schemas.microsoft.com/office/drawing/2014/main" xmlns="" id="{00000000-0008-0000-0500-000006000000}"/>
              </a:ext>
            </a:extLst>
          </xdr:cNvPr>
          <xdr:cNvSpPr txBox="1"/>
        </xdr:nvSpPr>
        <xdr:spPr>
          <a:xfrm>
            <a:off x="15442407" y="25419842"/>
            <a:ext cx="1619250" cy="8980184"/>
          </a:xfrm>
          <a:prstGeom prst="rect">
            <a:avLst/>
          </a:prstGeom>
          <a:solidFill>
            <a:srgbClr val="8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solidFill>
                  <a:schemeClr val="bg1"/>
                </a:solidFill>
              </a:rPr>
              <a:t>Pada Lembar ini mengisi </a:t>
            </a:r>
            <a:r>
              <a:rPr lang="en-ID" sz="1400" b="1">
                <a:solidFill>
                  <a:schemeClr val="bg1"/>
                </a:solidFill>
              </a:rPr>
              <a:t>PERILAKU KERJA </a:t>
            </a:r>
            <a:r>
              <a:rPr lang="en-ID" sz="1400">
                <a:solidFill>
                  <a:schemeClr val="bg1"/>
                </a:solidFill>
              </a:rPr>
              <a:t>Berdasrkan Penilaian yang diperoleh,  pada kolom </a:t>
            </a:r>
            <a:r>
              <a:rPr lang="en-ID" sz="1400" b="1">
                <a:solidFill>
                  <a:schemeClr val="bg1"/>
                </a:solidFill>
              </a:rPr>
              <a:t>PRLKU</a:t>
            </a:r>
            <a:r>
              <a:rPr lang="en-ID" sz="1400">
                <a:solidFill>
                  <a:schemeClr val="bg1"/>
                </a:solidFill>
              </a:rPr>
              <a:t>,</a:t>
            </a:r>
            <a:r>
              <a:rPr lang="en-ID" sz="1400" baseline="0">
                <a:solidFill>
                  <a:schemeClr val="bg1"/>
                </a:solidFill>
              </a:rPr>
              <a:t> </a:t>
            </a:r>
            <a:r>
              <a:rPr lang="en-ID" sz="1400">
                <a:solidFill>
                  <a:schemeClr val="bg1"/>
                </a:solidFill>
              </a:rPr>
              <a:t>dari pengamatan penilai dengan mengisi </a:t>
            </a:r>
            <a:r>
              <a:rPr lang="en-ID" sz="1400" b="1">
                <a:solidFill>
                  <a:schemeClr val="bg1"/>
                </a:solidFill>
              </a:rPr>
              <a:t>"KODE"</a:t>
            </a:r>
            <a:r>
              <a:rPr lang="en-ID" sz="1400" baseline="0">
                <a:solidFill>
                  <a:schemeClr val="bg1"/>
                </a:solidFill>
              </a:rPr>
              <a:t> sesuai dengan Nomor urut masing-masing baik Nomor utama dan sub-nya (Misalkan kode </a:t>
            </a:r>
            <a:r>
              <a:rPr lang="en-ID" sz="1400" b="1" baseline="0">
                <a:solidFill>
                  <a:schemeClr val="bg1"/>
                </a:solidFill>
              </a:rPr>
              <a:t>"1"</a:t>
            </a:r>
            <a:r>
              <a:rPr lang="en-ID" sz="1400" baseline="0">
                <a:solidFill>
                  <a:schemeClr val="bg1"/>
                </a:solidFill>
              </a:rPr>
              <a:t> Untuk Komponen </a:t>
            </a:r>
            <a:r>
              <a:rPr lang="en-ID" sz="1400" b="1" baseline="0">
                <a:solidFill>
                  <a:schemeClr val="bg1"/>
                </a:solidFill>
              </a:rPr>
              <a:t>Berorientasi Pelayanan</a:t>
            </a:r>
            <a:r>
              <a:rPr lang="en-ID" sz="1400" baseline="0">
                <a:solidFill>
                  <a:schemeClr val="bg1"/>
                </a:solidFill>
              </a:rPr>
              <a:t> dan </a:t>
            </a:r>
            <a:r>
              <a:rPr lang="en-ID" sz="1400" b="1" baseline="0">
                <a:solidFill>
                  <a:schemeClr val="bg1"/>
                </a:solidFill>
              </a:rPr>
              <a:t>"1.1"</a:t>
            </a:r>
            <a:r>
              <a:rPr lang="en-ID" sz="1400" baseline="0">
                <a:solidFill>
                  <a:schemeClr val="bg1"/>
                </a:solidFill>
              </a:rPr>
              <a:t> untuk </a:t>
            </a:r>
            <a:r>
              <a:rPr lang="en-ID" sz="1400" b="1" baseline="0">
                <a:solidFill>
                  <a:schemeClr val="bg1"/>
                </a:solidFill>
              </a:rPr>
              <a:t>Melaksanakan tugas dengan jujur, </a:t>
            </a:r>
            <a:r>
              <a:rPr lang="en-ID" sz="1400" baseline="0">
                <a:solidFill>
                  <a:schemeClr val="bg1"/>
                </a:solidFill>
              </a:rPr>
              <a:t> dst. Jika hasil penilaian tidak atau belum sesuai diberi KODE sesuai dengan masing-masing komponen dengan menambahkan sub 1, Misal : 1.1.1 ; 1.2.1 ; 1.3.1, dst.</a:t>
            </a:r>
          </a:p>
          <a:p>
            <a:endParaRPr lang="en-ID" sz="1400" b="1" baseline="0">
              <a:solidFill>
                <a:schemeClr val="bg1"/>
              </a:solidFill>
            </a:endParaRPr>
          </a:p>
          <a:p>
            <a:r>
              <a:rPr lang="en-ID" sz="1400" b="0" baseline="0">
                <a:solidFill>
                  <a:schemeClr val="bg1"/>
                </a:solidFill>
              </a:rPr>
              <a:t>Termasuk dalam pengisian Penilaian</a:t>
            </a:r>
            <a:r>
              <a:rPr lang="en-ID" sz="1400" b="1" baseline="0">
                <a:solidFill>
                  <a:schemeClr val="bg1"/>
                </a:solidFill>
              </a:rPr>
              <a:t> Ekspetasi Khusus Pimpinan</a:t>
            </a:r>
            <a:r>
              <a:rPr lang="en-ID" sz="1400" b="0" baseline="0">
                <a:solidFill>
                  <a:schemeClr val="bg1"/>
                </a:solidFill>
              </a:rPr>
              <a:t>, pada kolom</a:t>
            </a:r>
            <a:r>
              <a:rPr lang="en-ID" sz="1400" b="1" baseline="0">
                <a:solidFill>
                  <a:schemeClr val="bg1"/>
                </a:solidFill>
              </a:rPr>
              <a:t> EXPTSI</a:t>
            </a:r>
            <a:endParaRPr lang="en-ID" sz="1400" b="1">
              <a:solidFill>
                <a:schemeClr val="bg1"/>
              </a:solidFill>
            </a:endParaRPr>
          </a:p>
        </xdr:txBody>
      </xdr:sp>
      <xdr:sp macro="" textlink="">
        <xdr:nvSpPr>
          <xdr:cNvPr id="10" name="TextBox 9">
            <a:extLst>
              <a:ext uri="{FF2B5EF4-FFF2-40B4-BE49-F238E27FC236}">
                <a16:creationId xmlns:a16="http://schemas.microsoft.com/office/drawing/2014/main" xmlns="" id="{00000000-0008-0000-0500-00000A000000}"/>
              </a:ext>
            </a:extLst>
          </xdr:cNvPr>
          <xdr:cNvSpPr txBox="1"/>
        </xdr:nvSpPr>
        <xdr:spPr>
          <a:xfrm>
            <a:off x="15442407" y="34438075"/>
            <a:ext cx="1619250" cy="247945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solidFill>
                  <a:schemeClr val="bg1"/>
                </a:solidFill>
              </a:rPr>
              <a:t>Umpan</a:t>
            </a:r>
            <a:r>
              <a:rPr lang="en-ID" sz="1400" baseline="0">
                <a:solidFill>
                  <a:schemeClr val="bg1"/>
                </a:solidFill>
              </a:rPr>
              <a:t> balik terkait Perilaku Kerja diisi dengan KODE, sesuai hasil DIALOG oleh penilai / Pimpinan </a:t>
            </a:r>
            <a:r>
              <a:rPr lang="en-ID" sz="1400">
                <a:solidFill>
                  <a:schemeClr val="bg1"/>
                </a:solidFill>
              </a:rPr>
              <a:t>Berdasrkan pengamatan dan bukti dukung yang dimiliki </a:t>
            </a:r>
            <a:r>
              <a:rPr lang="en-ID" sz="1400" baseline="0">
                <a:solidFill>
                  <a:schemeClr val="bg1"/>
                </a:solidFill>
              </a:rPr>
              <a:t>Pimpinan </a:t>
            </a:r>
            <a:endParaRPr lang="en-ID" sz="1400" b="1">
              <a:solidFill>
                <a:schemeClr val="bg1"/>
              </a:solidFill>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19049</xdr:colOff>
      <xdr:row>9</xdr:row>
      <xdr:rowOff>114300</xdr:rowOff>
    </xdr:from>
    <xdr:to>
      <xdr:col>2</xdr:col>
      <xdr:colOff>874394</xdr:colOff>
      <xdr:row>17</xdr:row>
      <xdr:rowOff>53340</xdr:rowOff>
    </xdr:to>
    <xdr:graphicFrame macro="">
      <xdr:nvGraphicFramePr>
        <xdr:cNvPr id="2" name="Chart 1">
          <a:extLst>
            <a:ext uri="{FF2B5EF4-FFF2-40B4-BE49-F238E27FC236}">
              <a16:creationId xmlns:a16="http://schemas.microsoft.com/office/drawing/2014/main" xmlns=""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9</xdr:row>
      <xdr:rowOff>114300</xdr:rowOff>
    </xdr:from>
    <xdr:to>
      <xdr:col>5</xdr:col>
      <xdr:colOff>1350645</xdr:colOff>
      <xdr:row>17</xdr:row>
      <xdr:rowOff>53340</xdr:rowOff>
    </xdr:to>
    <xdr:graphicFrame macro="">
      <xdr:nvGraphicFramePr>
        <xdr:cNvPr id="3" name="Chart 2">
          <a:extLst>
            <a:ext uri="{FF2B5EF4-FFF2-40B4-BE49-F238E27FC236}">
              <a16:creationId xmlns:a16="http://schemas.microsoft.com/office/drawing/2014/main" xmlns=""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xdr:colOff>
      <xdr:row>9</xdr:row>
      <xdr:rowOff>104775</xdr:rowOff>
    </xdr:from>
    <xdr:to>
      <xdr:col>8</xdr:col>
      <xdr:colOff>883920</xdr:colOff>
      <xdr:row>17</xdr:row>
      <xdr:rowOff>43815</xdr:rowOff>
    </xdr:to>
    <xdr:graphicFrame macro="">
      <xdr:nvGraphicFramePr>
        <xdr:cNvPr id="4" name="Chart 3">
          <a:extLst>
            <a:ext uri="{FF2B5EF4-FFF2-40B4-BE49-F238E27FC236}">
              <a16:creationId xmlns:a16="http://schemas.microsoft.com/office/drawing/2014/main" xmlns=""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38100</xdr:colOff>
      <xdr:row>9</xdr:row>
      <xdr:rowOff>123825</xdr:rowOff>
    </xdr:from>
    <xdr:to>
      <xdr:col>11</xdr:col>
      <xdr:colOff>893445</xdr:colOff>
      <xdr:row>17</xdr:row>
      <xdr:rowOff>62865</xdr:rowOff>
    </xdr:to>
    <xdr:graphicFrame macro="">
      <xdr:nvGraphicFramePr>
        <xdr:cNvPr id="5" name="Chart 4">
          <a:extLst>
            <a:ext uri="{FF2B5EF4-FFF2-40B4-BE49-F238E27FC236}">
              <a16:creationId xmlns:a16="http://schemas.microsoft.com/office/drawing/2014/main" xmlns=""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28575</xdr:colOff>
      <xdr:row>9</xdr:row>
      <xdr:rowOff>76200</xdr:rowOff>
    </xdr:from>
    <xdr:to>
      <xdr:col>14</xdr:col>
      <xdr:colOff>883920</xdr:colOff>
      <xdr:row>17</xdr:row>
      <xdr:rowOff>15240</xdr:rowOff>
    </xdr:to>
    <xdr:graphicFrame macro="">
      <xdr:nvGraphicFramePr>
        <xdr:cNvPr id="6" name="Chart 5">
          <a:extLst>
            <a:ext uri="{FF2B5EF4-FFF2-40B4-BE49-F238E27FC236}">
              <a16:creationId xmlns:a16="http://schemas.microsoft.com/office/drawing/2014/main" xmlns=""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290794</xdr:colOff>
      <xdr:row>0</xdr:row>
      <xdr:rowOff>28575</xdr:rowOff>
    </xdr:from>
    <xdr:to>
      <xdr:col>4</xdr:col>
      <xdr:colOff>140344</xdr:colOff>
      <xdr:row>0</xdr:row>
      <xdr:rowOff>313765</xdr:rowOff>
    </xdr:to>
    <xdr:grpSp>
      <xdr:nvGrpSpPr>
        <xdr:cNvPr id="2" name="Group 1">
          <a:extLst>
            <a:ext uri="{FF2B5EF4-FFF2-40B4-BE49-F238E27FC236}">
              <a16:creationId xmlns:a16="http://schemas.microsoft.com/office/drawing/2014/main" xmlns="" id="{00000000-0008-0000-0C00-000002000000}"/>
            </a:ext>
          </a:extLst>
        </xdr:cNvPr>
        <xdr:cNvGrpSpPr>
          <a:grpSpLocks/>
        </xdr:cNvGrpSpPr>
      </xdr:nvGrpSpPr>
      <xdr:grpSpPr bwMode="auto">
        <a:xfrm>
          <a:off x="290794" y="28575"/>
          <a:ext cx="2154600" cy="285190"/>
          <a:chOff x="523877" y="57149"/>
          <a:chExt cx="2139952" cy="285191"/>
        </a:xfrm>
      </xdr:grpSpPr>
      <xdr:sp macro="" textlink="">
        <xdr:nvSpPr>
          <xdr:cNvPr id="3" name="Text Box 41">
            <a:hlinkClick xmlns:r="http://schemas.openxmlformats.org/officeDocument/2006/relationships" r:id="rId1"/>
            <a:extLst>
              <a:ext uri="{FF2B5EF4-FFF2-40B4-BE49-F238E27FC236}">
                <a16:creationId xmlns:a16="http://schemas.microsoft.com/office/drawing/2014/main" xmlns="" id="{00000000-0008-0000-0C00-000003000000}"/>
              </a:ext>
            </a:extLst>
          </xdr:cNvPr>
          <xdr:cNvSpPr txBox="1">
            <a:spLocks noChangeArrowheads="1"/>
          </xdr:cNvSpPr>
        </xdr:nvSpPr>
        <xdr:spPr bwMode="auto">
          <a:xfrm>
            <a:off x="523877" y="57149"/>
            <a:ext cx="811759" cy="285191"/>
          </a:xfrm>
          <a:prstGeom prst="rect">
            <a:avLst/>
          </a:prstGeom>
          <a:solidFill>
            <a:srgbClr val="800000"/>
          </a:solidFill>
          <a:ln w="9525">
            <a:noFill/>
            <a:miter lim="800000"/>
            <a:headEnd/>
            <a:tailEn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wrap="square" lIns="27432" tIns="22860" rIns="27432" bIns="0" anchor="ctr" anchorCtr="1" upright="1"/>
          <a:lstStyle/>
          <a:p>
            <a:pPr algn="ctr" rtl="1">
              <a:defRPr sz="1000"/>
            </a:pPr>
            <a:r>
              <a:rPr lang="id-ID" sz="1400" b="0" i="0" strike="noStrike">
                <a:solidFill>
                  <a:srgbClr val="FFFFFF"/>
                </a:solidFill>
                <a:latin typeface="Bernard MT Condensed" panose="02050806060905020404" pitchFamily="18" charset="0"/>
                <a:cs typeface="Aharoni"/>
              </a:rPr>
              <a:t>DATA </a:t>
            </a:r>
          </a:p>
        </xdr:txBody>
      </xdr:sp>
      <xdr:sp macro="" textlink="">
        <xdr:nvSpPr>
          <xdr:cNvPr id="4" name="Text Box 41">
            <a:hlinkClick xmlns:r="http://schemas.openxmlformats.org/officeDocument/2006/relationships" r:id="rId2"/>
            <a:extLst>
              <a:ext uri="{FF2B5EF4-FFF2-40B4-BE49-F238E27FC236}">
                <a16:creationId xmlns:a16="http://schemas.microsoft.com/office/drawing/2014/main" xmlns="" id="{00000000-0008-0000-0C00-000004000000}"/>
              </a:ext>
            </a:extLst>
          </xdr:cNvPr>
          <xdr:cNvSpPr txBox="1">
            <a:spLocks noChangeArrowheads="1"/>
          </xdr:cNvSpPr>
        </xdr:nvSpPr>
        <xdr:spPr bwMode="auto">
          <a:xfrm>
            <a:off x="1406529" y="57149"/>
            <a:ext cx="1257300" cy="285191"/>
          </a:xfrm>
          <a:prstGeom prst="rect">
            <a:avLst/>
          </a:prstGeom>
          <a:solidFill>
            <a:schemeClr val="tx1"/>
          </a:solidFill>
          <a:ln w="9525">
            <a:noFill/>
            <a:miter lim="800000"/>
            <a:headEnd/>
            <a:tailEn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wrap="square" lIns="27432" tIns="22860" rIns="27432" bIns="0" anchor="ctr" anchorCtr="1" upright="1"/>
          <a:lstStyle/>
          <a:p>
            <a:pPr algn="ctr" rtl="1">
              <a:defRPr sz="1000"/>
            </a:pPr>
            <a:r>
              <a:rPr lang="en-ID" sz="1400" b="0" i="0" strike="noStrike">
                <a:solidFill>
                  <a:srgbClr val="FFFFFF"/>
                </a:solidFill>
                <a:latin typeface="Bernard MT Condensed" panose="02050806060905020404" pitchFamily="18" charset="0"/>
                <a:cs typeface="Aharoni"/>
              </a:rPr>
              <a:t>SKP JF KUANTITAS</a:t>
            </a:r>
            <a:endParaRPr lang="id-ID" sz="1400" b="0" i="0" strike="noStrike">
              <a:solidFill>
                <a:srgbClr val="FFFFFF"/>
              </a:solidFill>
              <a:latin typeface="Bernard MT Condensed" panose="02050806060905020404" pitchFamily="18" charset="0"/>
              <a:cs typeface="Aharoni"/>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901996</xdr:colOff>
      <xdr:row>0</xdr:row>
      <xdr:rowOff>257175</xdr:rowOff>
    </xdr:to>
    <xdr:sp macro="" textlink="">
      <xdr:nvSpPr>
        <xdr:cNvPr id="2" name="Text Box 41">
          <a:hlinkClick xmlns:r="http://schemas.openxmlformats.org/officeDocument/2006/relationships" r:id="rId1"/>
          <a:extLst>
            <a:ext uri="{FF2B5EF4-FFF2-40B4-BE49-F238E27FC236}">
              <a16:creationId xmlns:a16="http://schemas.microsoft.com/office/drawing/2014/main" xmlns="" id="{00000000-0008-0000-0D00-000002000000}"/>
            </a:ext>
          </a:extLst>
        </xdr:cNvPr>
        <xdr:cNvSpPr txBox="1">
          <a:spLocks noChangeArrowheads="1"/>
        </xdr:cNvSpPr>
      </xdr:nvSpPr>
      <xdr:spPr bwMode="auto">
        <a:xfrm>
          <a:off x="247650" y="0"/>
          <a:ext cx="1225846" cy="257175"/>
        </a:xfrm>
        <a:prstGeom prst="rect">
          <a:avLst/>
        </a:prstGeom>
        <a:solidFill>
          <a:srgbClr val="800000"/>
        </a:solidFill>
        <a:ln w="9525">
          <a:solidFill>
            <a:srgbClr val="000000"/>
          </a:solidFill>
          <a:miter lim="800000"/>
          <a:headEnd/>
          <a:tailEnd/>
        </a:ln>
      </xdr:spPr>
      <xdr:txBody>
        <a:bodyPr vertOverflow="clip" wrap="square" lIns="27432" tIns="22860" rIns="27432" bIns="0" anchor="ctr" anchorCtr="1" upright="1"/>
        <a:lstStyle/>
        <a:p>
          <a:pPr algn="ctr" rtl="1">
            <a:defRPr sz="1000"/>
          </a:pPr>
          <a:r>
            <a:rPr lang="id-ID" sz="1400" b="0" i="0" strike="noStrike">
              <a:solidFill>
                <a:srgbClr val="FFFFFF"/>
              </a:solidFill>
              <a:latin typeface="Bernard MT Condensed" panose="02050806060905020404" pitchFamily="18" charset="0"/>
              <a:cs typeface="Aharoni"/>
            </a:rPr>
            <a:t>DATA UMUM</a:t>
          </a:r>
        </a:p>
      </xdr:txBody>
    </xdr:sp>
    <xdr:clientData/>
  </xdr:twoCellAnchor>
  <xdr:twoCellAnchor>
    <xdr:from>
      <xdr:col>4</xdr:col>
      <xdr:colOff>698500</xdr:colOff>
      <xdr:row>9</xdr:row>
      <xdr:rowOff>158749</xdr:rowOff>
    </xdr:from>
    <xdr:to>
      <xdr:col>5</xdr:col>
      <xdr:colOff>920749</xdr:colOff>
      <xdr:row>11</xdr:row>
      <xdr:rowOff>243416</xdr:rowOff>
    </xdr:to>
    <xdr:sp macro="" textlink="">
      <xdr:nvSpPr>
        <xdr:cNvPr id="4" name="TextBox 3">
          <a:hlinkClick xmlns:r="http://schemas.openxmlformats.org/officeDocument/2006/relationships" r:id="rId2"/>
          <a:extLst>
            <a:ext uri="{FF2B5EF4-FFF2-40B4-BE49-F238E27FC236}">
              <a16:creationId xmlns:a16="http://schemas.microsoft.com/office/drawing/2014/main" xmlns="" id="{00000000-0008-0000-0D00-000004000000}"/>
            </a:ext>
          </a:extLst>
        </xdr:cNvPr>
        <xdr:cNvSpPr txBox="1"/>
      </xdr:nvSpPr>
      <xdr:spPr>
        <a:xfrm>
          <a:off x="4593167" y="2391832"/>
          <a:ext cx="1460499" cy="518584"/>
        </a:xfrm>
        <a:prstGeom prst="rect">
          <a:avLst/>
        </a:prstGeom>
        <a:solidFill>
          <a:schemeClr val="accent6">
            <a:lumMod val="40000"/>
            <a:lumOff val="6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a:latin typeface="Bernard MT Condensed" panose="02050806060905020404" pitchFamily="18" charset="0"/>
              <a:cs typeface="Arial" panose="020B0604020202020204" pitchFamily="34" charset="0"/>
            </a:rPr>
            <a:t>KUADRAN PREDIKAT KINERJA PEGAWAI</a:t>
          </a:r>
        </a:p>
      </xdr:txBody>
    </xdr:sp>
    <xdr:clientData/>
  </xdr:twoCellAnchor>
  <xdr:twoCellAnchor>
    <xdr:from>
      <xdr:col>2</xdr:col>
      <xdr:colOff>253998</xdr:colOff>
      <xdr:row>2</xdr:row>
      <xdr:rowOff>201083</xdr:rowOff>
    </xdr:from>
    <xdr:to>
      <xdr:col>3</xdr:col>
      <xdr:colOff>179914</xdr:colOff>
      <xdr:row>4</xdr:row>
      <xdr:rowOff>74082</xdr:rowOff>
    </xdr:to>
    <xdr:sp macro="" textlink="">
      <xdr:nvSpPr>
        <xdr:cNvPr id="5" name="TextBox 4">
          <a:extLst>
            <a:ext uri="{FF2B5EF4-FFF2-40B4-BE49-F238E27FC236}">
              <a16:creationId xmlns:a16="http://schemas.microsoft.com/office/drawing/2014/main" xmlns="" id="{00000000-0008-0000-0D00-000005000000}"/>
            </a:ext>
          </a:extLst>
        </xdr:cNvPr>
        <xdr:cNvSpPr txBox="1"/>
      </xdr:nvSpPr>
      <xdr:spPr>
        <a:xfrm>
          <a:off x="825498" y="686858"/>
          <a:ext cx="2011891" cy="358774"/>
        </a:xfrm>
        <a:prstGeom prst="rect">
          <a:avLst/>
        </a:prstGeom>
        <a:solidFill>
          <a:schemeClr val="accent6">
            <a:lumMod val="75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solidFill>
                <a:schemeClr val="bg1"/>
              </a:solidFill>
              <a:latin typeface="Bernard MT Condensed" panose="02050806060905020404" pitchFamily="18" charset="0"/>
            </a:rPr>
            <a:t>LEMBAR KERJA SKP</a:t>
          </a:r>
        </a:p>
      </xdr:txBody>
    </xdr:sp>
    <xdr:clientData/>
  </xdr:twoCellAnchor>
  <xdr:twoCellAnchor>
    <xdr:from>
      <xdr:col>2</xdr:col>
      <xdr:colOff>2000252</xdr:colOff>
      <xdr:row>7</xdr:row>
      <xdr:rowOff>116404</xdr:rowOff>
    </xdr:from>
    <xdr:to>
      <xdr:col>4</xdr:col>
      <xdr:colOff>275167</xdr:colOff>
      <xdr:row>8</xdr:row>
      <xdr:rowOff>165088</xdr:rowOff>
    </xdr:to>
    <xdr:sp macro="" textlink="">
      <xdr:nvSpPr>
        <xdr:cNvPr id="7" name="TextBox 6">
          <a:extLst>
            <a:ext uri="{FF2B5EF4-FFF2-40B4-BE49-F238E27FC236}">
              <a16:creationId xmlns:a16="http://schemas.microsoft.com/office/drawing/2014/main" xmlns="" id="{00000000-0008-0000-0D00-000007000000}"/>
            </a:ext>
          </a:extLst>
        </xdr:cNvPr>
        <xdr:cNvSpPr txBox="1"/>
      </xdr:nvSpPr>
      <xdr:spPr>
        <a:xfrm>
          <a:off x="2571752" y="1869004"/>
          <a:ext cx="1599140" cy="277284"/>
        </a:xfrm>
        <a:prstGeom prst="rect">
          <a:avLst/>
        </a:prstGeom>
        <a:solidFill>
          <a:schemeClr val="accent2">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a:latin typeface="Bernard MT Condensed" panose="02050806060905020404" pitchFamily="18" charset="0"/>
              <a:cs typeface="Arial" panose="020B0604020202020204" pitchFamily="34" charset="0"/>
            </a:rPr>
            <a:t>2. LAMPIRAN</a:t>
          </a:r>
          <a:r>
            <a:rPr lang="en-ID" sz="1200" baseline="0">
              <a:latin typeface="Bernard MT Condensed" panose="02050806060905020404" pitchFamily="18" charset="0"/>
              <a:cs typeface="Arial" panose="020B0604020202020204" pitchFamily="34" charset="0"/>
            </a:rPr>
            <a:t> </a:t>
          </a:r>
          <a:r>
            <a:rPr lang="en-ID" sz="1200">
              <a:latin typeface="Bernard MT Condensed" panose="02050806060905020404" pitchFamily="18" charset="0"/>
              <a:cs typeface="Arial" panose="020B0604020202020204" pitchFamily="34" charset="0"/>
            </a:rPr>
            <a:t>SKP</a:t>
          </a:r>
        </a:p>
      </xdr:txBody>
    </xdr:sp>
    <xdr:clientData/>
  </xdr:twoCellAnchor>
  <xdr:twoCellAnchor>
    <xdr:from>
      <xdr:col>2</xdr:col>
      <xdr:colOff>2000246</xdr:colOff>
      <xdr:row>10</xdr:row>
      <xdr:rowOff>84656</xdr:rowOff>
    </xdr:from>
    <xdr:to>
      <xdr:col>4</xdr:col>
      <xdr:colOff>275161</xdr:colOff>
      <xdr:row>12</xdr:row>
      <xdr:rowOff>95252</xdr:rowOff>
    </xdr:to>
    <xdr:sp macro="" textlink="">
      <xdr:nvSpPr>
        <xdr:cNvPr id="8" name="TextBox 7">
          <a:hlinkClick xmlns:r="http://schemas.openxmlformats.org/officeDocument/2006/relationships" r:id="rId3"/>
          <a:extLst>
            <a:ext uri="{FF2B5EF4-FFF2-40B4-BE49-F238E27FC236}">
              <a16:creationId xmlns:a16="http://schemas.microsoft.com/office/drawing/2014/main" xmlns="" id="{00000000-0008-0000-0D00-000008000000}"/>
            </a:ext>
          </a:extLst>
        </xdr:cNvPr>
        <xdr:cNvSpPr txBox="1"/>
      </xdr:nvSpPr>
      <xdr:spPr>
        <a:xfrm>
          <a:off x="2571746" y="2497656"/>
          <a:ext cx="1598082" cy="518596"/>
        </a:xfrm>
        <a:prstGeom prst="rect">
          <a:avLst/>
        </a:prstGeom>
        <a:solidFill>
          <a:schemeClr val="accent2">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a:latin typeface="Bernard MT Condensed" panose="02050806060905020404" pitchFamily="18" charset="0"/>
              <a:cs typeface="Arial" panose="020B0604020202020204" pitchFamily="34" charset="0"/>
            </a:rPr>
            <a:t>3. EVALUASI KINERJA (KUANTITATIF) JF</a:t>
          </a:r>
        </a:p>
      </xdr:txBody>
    </xdr:sp>
    <xdr:clientData/>
  </xdr:twoCellAnchor>
  <xdr:twoCellAnchor>
    <xdr:from>
      <xdr:col>2</xdr:col>
      <xdr:colOff>258234</xdr:colOff>
      <xdr:row>9</xdr:row>
      <xdr:rowOff>19051</xdr:rowOff>
    </xdr:from>
    <xdr:to>
      <xdr:col>2</xdr:col>
      <xdr:colOff>1623481</xdr:colOff>
      <xdr:row>11</xdr:row>
      <xdr:rowOff>66675</xdr:rowOff>
    </xdr:to>
    <xdr:sp macro="" textlink="">
      <xdr:nvSpPr>
        <xdr:cNvPr id="10" name="TextBox 9">
          <a:hlinkClick xmlns:r="http://schemas.openxmlformats.org/officeDocument/2006/relationships" r:id="rId4"/>
          <a:extLst>
            <a:ext uri="{FF2B5EF4-FFF2-40B4-BE49-F238E27FC236}">
              <a16:creationId xmlns:a16="http://schemas.microsoft.com/office/drawing/2014/main" xmlns="" id="{00000000-0008-0000-0D00-00000A000000}"/>
            </a:ext>
          </a:extLst>
        </xdr:cNvPr>
        <xdr:cNvSpPr txBox="1"/>
      </xdr:nvSpPr>
      <xdr:spPr>
        <a:xfrm>
          <a:off x="829734" y="2228851"/>
          <a:ext cx="1365247" cy="485774"/>
        </a:xfrm>
        <a:prstGeom prst="rect">
          <a:avLst/>
        </a:prstGeom>
        <a:solidFill>
          <a:schemeClr val="accent6">
            <a:lumMod val="40000"/>
            <a:lumOff val="6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a:latin typeface="Bernard MT Condensed" panose="02050806060905020404" pitchFamily="18" charset="0"/>
              <a:cs typeface="Arial" panose="020B0604020202020204" pitchFamily="34" charset="0"/>
            </a:rPr>
            <a:t>PENILAIAN PRILAKU KERJA (BERAKHLAK)</a:t>
          </a:r>
        </a:p>
      </xdr:txBody>
    </xdr:sp>
    <xdr:clientData/>
  </xdr:twoCellAnchor>
  <xdr:twoCellAnchor>
    <xdr:from>
      <xdr:col>4</xdr:col>
      <xdr:colOff>677333</xdr:colOff>
      <xdr:row>11</xdr:row>
      <xdr:rowOff>152382</xdr:rowOff>
    </xdr:from>
    <xdr:to>
      <xdr:col>5</xdr:col>
      <xdr:colOff>931335</xdr:colOff>
      <xdr:row>12</xdr:row>
      <xdr:rowOff>222253</xdr:rowOff>
    </xdr:to>
    <xdr:sp macro="" textlink="">
      <xdr:nvSpPr>
        <xdr:cNvPr id="11" name="TextBox 10">
          <a:hlinkClick xmlns:r="http://schemas.openxmlformats.org/officeDocument/2006/relationships" r:id="rId5"/>
          <a:extLst>
            <a:ext uri="{FF2B5EF4-FFF2-40B4-BE49-F238E27FC236}">
              <a16:creationId xmlns:a16="http://schemas.microsoft.com/office/drawing/2014/main" xmlns="" id="{00000000-0008-0000-0D00-00000B000000}"/>
            </a:ext>
          </a:extLst>
        </xdr:cNvPr>
        <xdr:cNvSpPr txBox="1"/>
      </xdr:nvSpPr>
      <xdr:spPr>
        <a:xfrm>
          <a:off x="4572000" y="2819382"/>
          <a:ext cx="1492252" cy="323871"/>
        </a:xfrm>
        <a:prstGeom prst="rect">
          <a:avLst/>
        </a:prstGeom>
        <a:solidFill>
          <a:schemeClr val="accent5">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a:latin typeface="Bernard MT Condensed" panose="02050806060905020404" pitchFamily="18" charset="0"/>
              <a:cs typeface="Arial" panose="020B0604020202020204" pitchFamily="34" charset="0"/>
            </a:rPr>
            <a:t>POLA DISTRIBUSI</a:t>
          </a:r>
        </a:p>
      </xdr:txBody>
    </xdr:sp>
    <xdr:clientData/>
  </xdr:twoCellAnchor>
  <xdr:twoCellAnchor>
    <xdr:from>
      <xdr:col>3</xdr:col>
      <xdr:colOff>559337</xdr:colOff>
      <xdr:row>12</xdr:row>
      <xdr:rowOff>59245</xdr:rowOff>
    </xdr:from>
    <xdr:to>
      <xdr:col>3</xdr:col>
      <xdr:colOff>948275</xdr:colOff>
      <xdr:row>12</xdr:row>
      <xdr:rowOff>228582</xdr:rowOff>
    </xdr:to>
    <xdr:sp macro="" textlink="">
      <xdr:nvSpPr>
        <xdr:cNvPr id="16" name="Right Arrow 9">
          <a:extLst>
            <a:ext uri="{FF2B5EF4-FFF2-40B4-BE49-F238E27FC236}">
              <a16:creationId xmlns:a16="http://schemas.microsoft.com/office/drawing/2014/main" xmlns="" id="{00000000-0008-0000-0D00-000010000000}"/>
            </a:ext>
          </a:extLst>
        </xdr:cNvPr>
        <xdr:cNvSpPr/>
      </xdr:nvSpPr>
      <xdr:spPr>
        <a:xfrm rot="5400000">
          <a:off x="3325554" y="2870445"/>
          <a:ext cx="169337" cy="388938"/>
        </a:xfrm>
        <a:prstGeom prst="rightArrow">
          <a:avLst>
            <a:gd name="adj1" fmla="val 50000"/>
            <a:gd name="adj2" fmla="val 32051"/>
          </a:avLst>
        </a:prstGeom>
        <a:solidFill>
          <a:schemeClr val="accent3">
            <a:lumMod val="50000"/>
          </a:schemeClr>
        </a:solidFill>
        <a:ln>
          <a:solidFill>
            <a:schemeClr val="accent2">
              <a:lumMod val="50000"/>
            </a:schemeClr>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2021417</xdr:colOff>
      <xdr:row>13</xdr:row>
      <xdr:rowOff>52916</xdr:rowOff>
    </xdr:from>
    <xdr:to>
      <xdr:col>4</xdr:col>
      <xdr:colOff>306916</xdr:colOff>
      <xdr:row>15</xdr:row>
      <xdr:rowOff>104775</xdr:rowOff>
    </xdr:to>
    <xdr:sp macro="" textlink="">
      <xdr:nvSpPr>
        <xdr:cNvPr id="19" name="TextBox 18">
          <a:hlinkClick xmlns:r="http://schemas.openxmlformats.org/officeDocument/2006/relationships" r:id="rId6"/>
          <a:extLst>
            <a:ext uri="{FF2B5EF4-FFF2-40B4-BE49-F238E27FC236}">
              <a16:creationId xmlns:a16="http://schemas.microsoft.com/office/drawing/2014/main" xmlns="" id="{00000000-0008-0000-0D00-000013000000}"/>
            </a:ext>
          </a:extLst>
        </xdr:cNvPr>
        <xdr:cNvSpPr txBox="1"/>
      </xdr:nvSpPr>
      <xdr:spPr>
        <a:xfrm>
          <a:off x="2592917" y="3186641"/>
          <a:ext cx="1609724" cy="509059"/>
        </a:xfrm>
        <a:prstGeom prst="rect">
          <a:avLst/>
        </a:prstGeom>
        <a:solidFill>
          <a:srgbClr val="F2B8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a:latin typeface="Bernard MT Condensed" panose="02050806060905020404" pitchFamily="18" charset="0"/>
              <a:cs typeface="Arial" panose="020B0604020202020204" pitchFamily="34" charset="0"/>
            </a:rPr>
            <a:t>DOKUMEN EVALUASI</a:t>
          </a:r>
          <a:r>
            <a:rPr lang="en-ID" sz="1200" baseline="0">
              <a:latin typeface="Bernard MT Condensed" panose="02050806060905020404" pitchFamily="18" charset="0"/>
              <a:cs typeface="Arial" panose="020B0604020202020204" pitchFamily="34" charset="0"/>
            </a:rPr>
            <a:t> KINERJA PEGAWAI</a:t>
          </a:r>
          <a:endParaRPr lang="en-ID" sz="1200">
            <a:latin typeface="Bernard MT Condensed" panose="02050806060905020404" pitchFamily="18" charset="0"/>
            <a:cs typeface="Arial" panose="020B0604020202020204" pitchFamily="34" charset="0"/>
          </a:endParaRPr>
        </a:p>
      </xdr:txBody>
    </xdr:sp>
    <xdr:clientData/>
  </xdr:twoCellAnchor>
  <xdr:twoCellAnchor>
    <xdr:from>
      <xdr:col>4</xdr:col>
      <xdr:colOff>201082</xdr:colOff>
      <xdr:row>2</xdr:row>
      <xdr:rowOff>201082</xdr:rowOff>
    </xdr:from>
    <xdr:to>
      <xdr:col>8</xdr:col>
      <xdr:colOff>84664</xdr:colOff>
      <xdr:row>6</xdr:row>
      <xdr:rowOff>211665</xdr:rowOff>
    </xdr:to>
    <xdr:sp macro="" textlink="">
      <xdr:nvSpPr>
        <xdr:cNvPr id="23" name="TextBox 22">
          <a:extLst>
            <a:ext uri="{FF2B5EF4-FFF2-40B4-BE49-F238E27FC236}">
              <a16:creationId xmlns:a16="http://schemas.microsoft.com/office/drawing/2014/main" xmlns="" id="{00000000-0008-0000-0D00-000017000000}"/>
            </a:ext>
          </a:extLst>
        </xdr:cNvPr>
        <xdr:cNvSpPr txBox="1"/>
      </xdr:nvSpPr>
      <xdr:spPr>
        <a:xfrm>
          <a:off x="4095749" y="783165"/>
          <a:ext cx="2857498" cy="963083"/>
        </a:xfrm>
        <a:prstGeom prst="rect">
          <a:avLst/>
        </a:prstGeom>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1002">
          <a:schemeClr val="dk2"/>
        </a:fillRef>
        <a:effectRef idx="0">
          <a:scrgbClr r="0" g="0" b="0"/>
        </a:effectRef>
        <a:fontRef idx="minor">
          <a:schemeClr val="dk1"/>
        </a:fontRef>
      </xdr:style>
      <xdr:txBody>
        <a:bodyPr vertOverflow="clip" horzOverflow="clip" wrap="square" rtlCol="0" anchor="t"/>
        <a:lstStyle/>
        <a:p>
          <a:pPr algn="ctr"/>
          <a:r>
            <a:rPr lang="en-US" sz="1400" b="0">
              <a:solidFill>
                <a:schemeClr val="bg1"/>
              </a:solidFill>
              <a:effectLst/>
              <a:latin typeface="Bernard MT Condensed" panose="02050806060905020404" pitchFamily="18" charset="0"/>
              <a:ea typeface="+mn-ea"/>
              <a:cs typeface="+mn-cs"/>
            </a:rPr>
            <a:t>PERENCANAAN</a:t>
          </a:r>
          <a:r>
            <a:rPr lang="en-US" sz="1400" b="0" baseline="0">
              <a:solidFill>
                <a:schemeClr val="bg1"/>
              </a:solidFill>
              <a:effectLst/>
              <a:latin typeface="Bernard MT Condensed" panose="02050806060905020404" pitchFamily="18" charset="0"/>
              <a:ea typeface="+mn-ea"/>
              <a:cs typeface="+mn-cs"/>
            </a:rPr>
            <a:t> DAN EVALUASI KINERJA SESUAI PERMENPANRB  NO 06 THN 2022</a:t>
          </a:r>
          <a:endParaRPr lang="en-ID" sz="1400" b="0">
            <a:solidFill>
              <a:schemeClr val="bg1"/>
            </a:solidFill>
            <a:effectLst/>
            <a:latin typeface="Bernard MT Condensed" panose="02050806060905020404" pitchFamily="18" charset="0"/>
          </a:endParaRPr>
        </a:p>
        <a:p>
          <a:pPr algn="ctr"/>
          <a:r>
            <a:rPr lang="en-US" sz="1400" b="0" baseline="0">
              <a:solidFill>
                <a:schemeClr val="bg1"/>
              </a:solidFill>
              <a:effectLst/>
              <a:latin typeface="Bernard MT Condensed" panose="02050806060905020404" pitchFamily="18" charset="0"/>
              <a:ea typeface="+mn-ea"/>
              <a:cs typeface="+mn-cs"/>
            </a:rPr>
            <a:t>PENGELOLAAN KINERJA PEGAWAI APARATUR SIPIL NEGARA</a:t>
          </a:r>
          <a:endParaRPr lang="en-ID" sz="1400" b="0">
            <a:solidFill>
              <a:schemeClr val="bg1"/>
            </a:solidFill>
            <a:latin typeface="Bernard MT Condensed" panose="02050806060905020404" pitchFamily="18" charset="0"/>
          </a:endParaRPr>
        </a:p>
      </xdr:txBody>
    </xdr:sp>
    <xdr:clientData/>
  </xdr:twoCellAnchor>
  <xdr:twoCellAnchor>
    <xdr:from>
      <xdr:col>3</xdr:col>
      <xdr:colOff>549806</xdr:colOff>
      <xdr:row>9</xdr:row>
      <xdr:rowOff>11628</xdr:rowOff>
    </xdr:from>
    <xdr:to>
      <xdr:col>3</xdr:col>
      <xdr:colOff>938744</xdr:colOff>
      <xdr:row>10</xdr:row>
      <xdr:rowOff>1048</xdr:rowOff>
    </xdr:to>
    <xdr:sp macro="" textlink="">
      <xdr:nvSpPr>
        <xdr:cNvPr id="26" name="Right Arrow 9">
          <a:extLst>
            <a:ext uri="{FF2B5EF4-FFF2-40B4-BE49-F238E27FC236}">
              <a16:creationId xmlns:a16="http://schemas.microsoft.com/office/drawing/2014/main" xmlns="" id="{00000000-0008-0000-0D00-00001A000000}"/>
            </a:ext>
          </a:extLst>
        </xdr:cNvPr>
        <xdr:cNvSpPr/>
      </xdr:nvSpPr>
      <xdr:spPr>
        <a:xfrm rot="5400000">
          <a:off x="3292740" y="2135969"/>
          <a:ext cx="218020" cy="388938"/>
        </a:xfrm>
        <a:prstGeom prst="rightArrow">
          <a:avLst>
            <a:gd name="adj1" fmla="val 50000"/>
            <a:gd name="adj2" fmla="val 32051"/>
          </a:avLst>
        </a:prstGeom>
        <a:solidFill>
          <a:schemeClr val="accent3">
            <a:lumMod val="50000"/>
          </a:schemeClr>
        </a:solidFill>
        <a:ln>
          <a:solidFill>
            <a:schemeClr val="accent2">
              <a:lumMod val="50000"/>
            </a:schemeClr>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endParaRPr lang="en-US"/>
        </a:p>
      </xdr:txBody>
    </xdr:sp>
    <xdr:clientData/>
  </xdr:twoCellAnchor>
  <xdr:twoCellAnchor>
    <xdr:from>
      <xdr:col>4</xdr:col>
      <xdr:colOff>253997</xdr:colOff>
      <xdr:row>10</xdr:row>
      <xdr:rowOff>148151</xdr:rowOff>
    </xdr:from>
    <xdr:to>
      <xdr:col>4</xdr:col>
      <xdr:colOff>783166</xdr:colOff>
      <xdr:row>11</xdr:row>
      <xdr:rowOff>232819</xdr:rowOff>
    </xdr:to>
    <xdr:sp macro="" textlink="">
      <xdr:nvSpPr>
        <xdr:cNvPr id="3" name="Right Arrow 9">
          <a:extLst>
            <a:ext uri="{FF2B5EF4-FFF2-40B4-BE49-F238E27FC236}">
              <a16:creationId xmlns:a16="http://schemas.microsoft.com/office/drawing/2014/main" xmlns="" id="{00000000-0008-0000-0D00-000003000000}"/>
            </a:ext>
          </a:extLst>
        </xdr:cNvPr>
        <xdr:cNvSpPr/>
      </xdr:nvSpPr>
      <xdr:spPr>
        <a:xfrm>
          <a:off x="4148664" y="2561151"/>
          <a:ext cx="529169" cy="338668"/>
        </a:xfrm>
        <a:prstGeom prst="rightArrow">
          <a:avLst>
            <a:gd name="adj1" fmla="val 50000"/>
            <a:gd name="adj2" fmla="val 32051"/>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endParaRPr lang="en-US"/>
        </a:p>
      </xdr:txBody>
    </xdr:sp>
    <xdr:clientData/>
  </xdr:twoCellAnchor>
  <xdr:twoCellAnchor>
    <xdr:from>
      <xdr:col>3</xdr:col>
      <xdr:colOff>455084</xdr:colOff>
      <xdr:row>2</xdr:row>
      <xdr:rowOff>211667</xdr:rowOff>
    </xdr:from>
    <xdr:to>
      <xdr:col>3</xdr:col>
      <xdr:colOff>1174749</xdr:colOff>
      <xdr:row>4</xdr:row>
      <xdr:rowOff>48704</xdr:rowOff>
    </xdr:to>
    <xdr:sp macro="" textlink="">
      <xdr:nvSpPr>
        <xdr:cNvPr id="31" name="TextBox 30">
          <a:hlinkClick xmlns:r="http://schemas.openxmlformats.org/officeDocument/2006/relationships" r:id="rId7"/>
          <a:extLst>
            <a:ext uri="{FF2B5EF4-FFF2-40B4-BE49-F238E27FC236}">
              <a16:creationId xmlns:a16="http://schemas.microsoft.com/office/drawing/2014/main" xmlns="" id="{00000000-0008-0000-0D00-00001F000000}"/>
            </a:ext>
          </a:extLst>
        </xdr:cNvPr>
        <xdr:cNvSpPr txBox="1"/>
      </xdr:nvSpPr>
      <xdr:spPr>
        <a:xfrm>
          <a:off x="3111501" y="793750"/>
          <a:ext cx="719665" cy="323871"/>
        </a:xfrm>
        <a:prstGeom prst="rect">
          <a:avLst/>
        </a:prstGeom>
        <a:solidFill>
          <a:schemeClr val="accent2">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a:latin typeface="Bernard MT Condensed" panose="02050806060905020404" pitchFamily="18" charset="0"/>
              <a:cs typeface="Arial" panose="020B0604020202020204" pitchFamily="34" charset="0"/>
            </a:rPr>
            <a:t>COVER</a:t>
          </a:r>
        </a:p>
      </xdr:txBody>
    </xdr:sp>
    <xdr:clientData/>
  </xdr:twoCellAnchor>
  <xdr:twoCellAnchor>
    <xdr:from>
      <xdr:col>2</xdr:col>
      <xdr:colOff>255059</xdr:colOff>
      <xdr:row>5</xdr:row>
      <xdr:rowOff>168271</xdr:rowOff>
    </xdr:from>
    <xdr:to>
      <xdr:col>2</xdr:col>
      <xdr:colOff>1853143</xdr:colOff>
      <xdr:row>6</xdr:row>
      <xdr:rowOff>216954</xdr:rowOff>
    </xdr:to>
    <xdr:sp macro="" textlink="">
      <xdr:nvSpPr>
        <xdr:cNvPr id="20" name="TextBox 19">
          <a:hlinkClick xmlns:r="http://schemas.openxmlformats.org/officeDocument/2006/relationships" r:id="rId8"/>
          <a:extLst>
            <a:ext uri="{FF2B5EF4-FFF2-40B4-BE49-F238E27FC236}">
              <a16:creationId xmlns:a16="http://schemas.microsoft.com/office/drawing/2014/main" xmlns="" id="{00000000-0008-0000-0D00-000014000000}"/>
            </a:ext>
          </a:extLst>
        </xdr:cNvPr>
        <xdr:cNvSpPr txBox="1"/>
      </xdr:nvSpPr>
      <xdr:spPr>
        <a:xfrm>
          <a:off x="826559" y="1463671"/>
          <a:ext cx="1598084" cy="277283"/>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a:latin typeface="Bernard MT Condensed" panose="02050806060905020404" pitchFamily="18" charset="0"/>
              <a:cs typeface="Arial" panose="020B0604020202020204" pitchFamily="34" charset="0"/>
            </a:rPr>
            <a:t>MATRIK PERAN HASIL</a:t>
          </a:r>
        </a:p>
      </xdr:txBody>
    </xdr:sp>
    <xdr:clientData/>
  </xdr:twoCellAnchor>
  <xdr:twoCellAnchor>
    <xdr:from>
      <xdr:col>2</xdr:col>
      <xdr:colOff>2010834</xdr:colOff>
      <xdr:row>6</xdr:row>
      <xdr:rowOff>52904</xdr:rowOff>
    </xdr:from>
    <xdr:to>
      <xdr:col>4</xdr:col>
      <xdr:colOff>285751</xdr:colOff>
      <xdr:row>7</xdr:row>
      <xdr:rowOff>101587</xdr:rowOff>
    </xdr:to>
    <xdr:sp macro="" textlink="">
      <xdr:nvSpPr>
        <xdr:cNvPr id="6" name="TextBox 5">
          <a:hlinkClick xmlns:r="http://schemas.openxmlformats.org/officeDocument/2006/relationships" r:id="rId9"/>
          <a:extLst>
            <a:ext uri="{FF2B5EF4-FFF2-40B4-BE49-F238E27FC236}">
              <a16:creationId xmlns:a16="http://schemas.microsoft.com/office/drawing/2014/main" xmlns="" id="{00000000-0008-0000-0D00-000006000000}"/>
            </a:ext>
          </a:extLst>
        </xdr:cNvPr>
        <xdr:cNvSpPr txBox="1"/>
      </xdr:nvSpPr>
      <xdr:spPr>
        <a:xfrm>
          <a:off x="2582334" y="1587487"/>
          <a:ext cx="1598084" cy="281517"/>
        </a:xfrm>
        <a:prstGeom prst="rect">
          <a:avLst/>
        </a:prstGeom>
        <a:solidFill>
          <a:schemeClr val="accent2">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a:latin typeface="Bernard MT Condensed" panose="02050806060905020404" pitchFamily="18" charset="0"/>
              <a:cs typeface="Arial" panose="020B0604020202020204" pitchFamily="34" charset="0"/>
            </a:rPr>
            <a:t>1. SKP JF KUANTITATIF</a:t>
          </a:r>
        </a:p>
      </xdr:txBody>
    </xdr:sp>
    <xdr:clientData/>
  </xdr:twoCellAnchor>
  <xdr:twoCellAnchor editAs="oneCell">
    <xdr:from>
      <xdr:col>8</xdr:col>
      <xdr:colOff>222249</xdr:colOff>
      <xdr:row>2</xdr:row>
      <xdr:rowOff>190505</xdr:rowOff>
    </xdr:from>
    <xdr:to>
      <xdr:col>11</xdr:col>
      <xdr:colOff>825498</xdr:colOff>
      <xdr:row>15</xdr:row>
      <xdr:rowOff>80315</xdr:rowOff>
    </xdr:to>
    <xdr:pic>
      <xdr:nvPicPr>
        <xdr:cNvPr id="13" name="Picture 12">
          <a:extLst>
            <a:ext uri="{FF2B5EF4-FFF2-40B4-BE49-F238E27FC236}">
              <a16:creationId xmlns:a16="http://schemas.microsoft.com/office/drawing/2014/main" xmlns="" id="{00000000-0008-0000-0D00-00000D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090832" y="772588"/>
          <a:ext cx="5090583" cy="2974852"/>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2</xdr:col>
      <xdr:colOff>257175</xdr:colOff>
      <xdr:row>12</xdr:row>
      <xdr:rowOff>219075</xdr:rowOff>
    </xdr:from>
    <xdr:to>
      <xdr:col>2</xdr:col>
      <xdr:colOff>1856315</xdr:colOff>
      <xdr:row>15</xdr:row>
      <xdr:rowOff>123825</xdr:rowOff>
    </xdr:to>
    <xdr:sp macro="" textlink="">
      <xdr:nvSpPr>
        <xdr:cNvPr id="21" name="TextBox 20">
          <a:hlinkClick xmlns:r="http://schemas.openxmlformats.org/officeDocument/2006/relationships" r:id="rId11"/>
          <a:extLst>
            <a:ext uri="{FF2B5EF4-FFF2-40B4-BE49-F238E27FC236}">
              <a16:creationId xmlns:a16="http://schemas.microsoft.com/office/drawing/2014/main" xmlns="" id="{00000000-0008-0000-0D00-000015000000}"/>
            </a:ext>
          </a:extLst>
        </xdr:cNvPr>
        <xdr:cNvSpPr txBox="1"/>
      </xdr:nvSpPr>
      <xdr:spPr>
        <a:xfrm>
          <a:off x="828675" y="3124200"/>
          <a:ext cx="1599140" cy="590550"/>
        </a:xfrm>
        <a:prstGeom prst="rect">
          <a:avLst/>
        </a:prstGeom>
        <a:solidFill>
          <a:schemeClr val="accent2">
            <a:lumMod val="40000"/>
            <a:lumOff val="6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a:latin typeface="Bernard MT Condensed" panose="02050806060905020404" pitchFamily="18" charset="0"/>
              <a:cs typeface="Arial" panose="020B0604020202020204" pitchFamily="34" charset="0"/>
            </a:rPr>
            <a:t>3. EVALUASI KINERJA (KUANTITATIF) JF</a:t>
          </a:r>
        </a:p>
      </xdr:txBody>
    </xdr:sp>
    <xdr:clientData/>
  </xdr:twoCellAnchor>
  <xdr:twoCellAnchor>
    <xdr:from>
      <xdr:col>2</xdr:col>
      <xdr:colOff>1804988</xdr:colOff>
      <xdr:row>11</xdr:row>
      <xdr:rowOff>147637</xdr:rowOff>
    </xdr:from>
    <xdr:to>
      <xdr:col>3</xdr:col>
      <xdr:colOff>23813</xdr:colOff>
      <xdr:row>14</xdr:row>
      <xdr:rowOff>33337</xdr:rowOff>
    </xdr:to>
    <xdr:sp macro="" textlink="">
      <xdr:nvSpPr>
        <xdr:cNvPr id="9" name="Left-Right Arrow 8">
          <a:extLst>
            <a:ext uri="{FF2B5EF4-FFF2-40B4-BE49-F238E27FC236}">
              <a16:creationId xmlns:a16="http://schemas.microsoft.com/office/drawing/2014/main" xmlns="" id="{00000000-0008-0000-0D00-000009000000}"/>
            </a:ext>
          </a:extLst>
        </xdr:cNvPr>
        <xdr:cNvSpPr/>
      </xdr:nvSpPr>
      <xdr:spPr>
        <a:xfrm rot="18759210">
          <a:off x="2228850" y="2943225"/>
          <a:ext cx="600075" cy="304800"/>
        </a:xfrm>
        <a:prstGeom prst="leftRightArrow">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255059</xdr:colOff>
      <xdr:row>7</xdr:row>
      <xdr:rowOff>6346</xdr:rowOff>
    </xdr:from>
    <xdr:to>
      <xdr:col>2</xdr:col>
      <xdr:colOff>1853143</xdr:colOff>
      <xdr:row>8</xdr:row>
      <xdr:rowOff>55029</xdr:rowOff>
    </xdr:to>
    <xdr:sp macro="" textlink="">
      <xdr:nvSpPr>
        <xdr:cNvPr id="25" name="TextBox 24">
          <a:hlinkClick xmlns:r="http://schemas.openxmlformats.org/officeDocument/2006/relationships" r:id="rId12"/>
          <a:extLst>
            <a:ext uri="{FF2B5EF4-FFF2-40B4-BE49-F238E27FC236}">
              <a16:creationId xmlns:a16="http://schemas.microsoft.com/office/drawing/2014/main" xmlns="" id="{00000000-0008-0000-0D00-000019000000}"/>
            </a:ext>
          </a:extLst>
        </xdr:cNvPr>
        <xdr:cNvSpPr txBox="1"/>
      </xdr:nvSpPr>
      <xdr:spPr>
        <a:xfrm>
          <a:off x="826559" y="1758946"/>
          <a:ext cx="1598084" cy="277283"/>
        </a:xfrm>
        <a:prstGeom prst="rect">
          <a:avLst/>
        </a:prstGeom>
        <a:solidFill>
          <a:schemeClr val="accent4">
            <a:lumMod val="40000"/>
            <a:lumOff val="6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latin typeface="Bernard MT Condensed" panose="02050806060905020404" pitchFamily="18" charset="0"/>
              <a:cs typeface="Arial" panose="020B0604020202020204" pitchFamily="34" charset="0"/>
            </a:rPr>
            <a:t>TUPOKSI DINAS-PS-KS-GR</a:t>
          </a:r>
        </a:p>
      </xdr:txBody>
    </xdr:sp>
    <xdr:clientData/>
  </xdr:twoCellAnchor>
  <xdr:twoCellAnchor>
    <xdr:from>
      <xdr:col>2</xdr:col>
      <xdr:colOff>258234</xdr:colOff>
      <xdr:row>11</xdr:row>
      <xdr:rowOff>28575</xdr:rowOff>
    </xdr:from>
    <xdr:to>
      <xdr:col>2</xdr:col>
      <xdr:colOff>1623481</xdr:colOff>
      <xdr:row>12</xdr:row>
      <xdr:rowOff>76200</xdr:rowOff>
    </xdr:to>
    <xdr:sp macro="" textlink="">
      <xdr:nvSpPr>
        <xdr:cNvPr id="27" name="TextBox 26">
          <a:hlinkClick xmlns:r="http://schemas.openxmlformats.org/officeDocument/2006/relationships" r:id="rId13"/>
          <a:extLst>
            <a:ext uri="{FF2B5EF4-FFF2-40B4-BE49-F238E27FC236}">
              <a16:creationId xmlns:a16="http://schemas.microsoft.com/office/drawing/2014/main" xmlns="" id="{00000000-0008-0000-0D00-00001B000000}"/>
            </a:ext>
          </a:extLst>
        </xdr:cNvPr>
        <xdr:cNvSpPr txBox="1"/>
      </xdr:nvSpPr>
      <xdr:spPr>
        <a:xfrm>
          <a:off x="829734" y="2676525"/>
          <a:ext cx="1365247" cy="304800"/>
        </a:xfrm>
        <a:prstGeom prst="rect">
          <a:avLst/>
        </a:prstGeom>
        <a:solidFill>
          <a:schemeClr val="accent5">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a:latin typeface="Bernard MT Condensed" panose="02050806060905020404" pitchFamily="18" charset="0"/>
              <a:cs typeface="Arial" panose="020B0604020202020204" pitchFamily="34" charset="0"/>
            </a:rPr>
            <a:t>UMPAN</a:t>
          </a:r>
          <a:r>
            <a:rPr lang="en-ID" sz="1200" baseline="0">
              <a:latin typeface="Bernard MT Condensed" panose="02050806060905020404" pitchFamily="18" charset="0"/>
              <a:cs typeface="Arial" panose="020B0604020202020204" pitchFamily="34" charset="0"/>
            </a:rPr>
            <a:t> BALIK</a:t>
          </a:r>
          <a:endParaRPr lang="en-ID" sz="1200">
            <a:latin typeface="Bernard MT Condensed" panose="02050806060905020404" pitchFamily="18" charset="0"/>
            <a:cs typeface="Arial" panose="020B0604020202020204" pitchFamily="34" charset="0"/>
          </a:endParaRPr>
        </a:p>
      </xdr:txBody>
    </xdr:sp>
    <xdr:clientData/>
  </xdr:twoCellAnchor>
  <xdr:twoCellAnchor>
    <xdr:from>
      <xdr:col>2</xdr:col>
      <xdr:colOff>1576916</xdr:colOff>
      <xdr:row>10</xdr:row>
      <xdr:rowOff>141802</xdr:rowOff>
    </xdr:from>
    <xdr:to>
      <xdr:col>2</xdr:col>
      <xdr:colOff>2067987</xdr:colOff>
      <xdr:row>11</xdr:row>
      <xdr:rowOff>226470</xdr:rowOff>
    </xdr:to>
    <xdr:sp macro="" textlink="">
      <xdr:nvSpPr>
        <xdr:cNvPr id="30" name="Right Arrow 9">
          <a:extLst>
            <a:ext uri="{FF2B5EF4-FFF2-40B4-BE49-F238E27FC236}">
              <a16:creationId xmlns:a16="http://schemas.microsoft.com/office/drawing/2014/main" xmlns="" id="{00000000-0008-0000-0D00-00001E000000}"/>
            </a:ext>
          </a:extLst>
        </xdr:cNvPr>
        <xdr:cNvSpPr/>
      </xdr:nvSpPr>
      <xdr:spPr>
        <a:xfrm flipH="1">
          <a:off x="2148416" y="2554802"/>
          <a:ext cx="491071" cy="338668"/>
        </a:xfrm>
        <a:prstGeom prst="rightArrow">
          <a:avLst>
            <a:gd name="adj1" fmla="val 50000"/>
            <a:gd name="adj2" fmla="val 32051"/>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371475</xdr:colOff>
      <xdr:row>7</xdr:row>
      <xdr:rowOff>104775</xdr:rowOff>
    </xdr:from>
    <xdr:to>
      <xdr:col>9</xdr:col>
      <xdr:colOff>1009650</xdr:colOff>
      <xdr:row>8</xdr:row>
      <xdr:rowOff>47625</xdr:rowOff>
    </xdr:to>
    <xdr:sp macro="" textlink="">
      <xdr:nvSpPr>
        <xdr:cNvPr id="14" name="Rounded Rectangle 13">
          <a:hlinkClick xmlns:r="http://schemas.openxmlformats.org/officeDocument/2006/relationships" r:id="rId14"/>
          <a:extLst>
            <a:ext uri="{FF2B5EF4-FFF2-40B4-BE49-F238E27FC236}">
              <a16:creationId xmlns:a16="http://schemas.microsoft.com/office/drawing/2014/main" xmlns="" id="{00000000-0008-0000-0D00-00000E000000}"/>
            </a:ext>
          </a:extLst>
        </xdr:cNvPr>
        <xdr:cNvSpPr/>
      </xdr:nvSpPr>
      <xdr:spPr>
        <a:xfrm>
          <a:off x="9229725" y="1857375"/>
          <a:ext cx="638175" cy="1714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742950</xdr:colOff>
      <xdr:row>13</xdr:row>
      <xdr:rowOff>47625</xdr:rowOff>
    </xdr:from>
    <xdr:to>
      <xdr:col>11</xdr:col>
      <xdr:colOff>114300</xdr:colOff>
      <xdr:row>13</xdr:row>
      <xdr:rowOff>219075</xdr:rowOff>
    </xdr:to>
    <xdr:sp macro="" textlink="">
      <xdr:nvSpPr>
        <xdr:cNvPr id="28" name="Rounded Rectangle 27">
          <a:hlinkClick xmlns:r="http://schemas.openxmlformats.org/officeDocument/2006/relationships" r:id="rId15"/>
          <a:extLst>
            <a:ext uri="{FF2B5EF4-FFF2-40B4-BE49-F238E27FC236}">
              <a16:creationId xmlns:a16="http://schemas.microsoft.com/office/drawing/2014/main" xmlns="" id="{00000000-0008-0000-0D00-00001C000000}"/>
            </a:ext>
          </a:extLst>
        </xdr:cNvPr>
        <xdr:cNvSpPr/>
      </xdr:nvSpPr>
      <xdr:spPr>
        <a:xfrm>
          <a:off x="10839450" y="3228975"/>
          <a:ext cx="638175" cy="1714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381000</xdr:colOff>
      <xdr:row>13</xdr:row>
      <xdr:rowOff>47625</xdr:rowOff>
    </xdr:from>
    <xdr:to>
      <xdr:col>9</xdr:col>
      <xdr:colOff>1019175</xdr:colOff>
      <xdr:row>13</xdr:row>
      <xdr:rowOff>219075</xdr:rowOff>
    </xdr:to>
    <xdr:sp macro="" textlink="">
      <xdr:nvSpPr>
        <xdr:cNvPr id="29" name="Rounded Rectangle 28">
          <a:hlinkClick xmlns:r="http://schemas.openxmlformats.org/officeDocument/2006/relationships" r:id="rId16"/>
          <a:extLst>
            <a:ext uri="{FF2B5EF4-FFF2-40B4-BE49-F238E27FC236}">
              <a16:creationId xmlns:a16="http://schemas.microsoft.com/office/drawing/2014/main" xmlns="" id="{00000000-0008-0000-0D00-00001D000000}"/>
            </a:ext>
          </a:extLst>
        </xdr:cNvPr>
        <xdr:cNvSpPr/>
      </xdr:nvSpPr>
      <xdr:spPr>
        <a:xfrm>
          <a:off x="9239250" y="3228975"/>
          <a:ext cx="638175" cy="1714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ocuments\APSI\APLIKASI%20V.4%20SMP%2001%202019\FinalE-Pengawas_OK\SKP%202018%20Pengawa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adiw\OneDrive\Dokumen\Seminar%20Pokjawas%20DKI%206042017\Laporan%20Hasil%20Pemantauan%208SNP%20MI\Hasil%20Pemantauan%208%20SNP%20Revis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SKP%20MTsN%206-2014\SKP-ABK-ANJAB%20Guru%20MTsN%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KUA%20PAncoran\APLIKASI%20DP3-KUA%20PANCOR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Hp\Documents\APSI\APLIKASI%20V.4%202019\1.%20APLIKASI%20V.4%20TK%2001%202019\FinalE-Pengawas_OK\e_PENGAWASAN.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SKP-PKPNS%20GURU-KS\PKG-180%20DRJT-201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Hp\Documents\APSI\GURU%20INDUKSI%202019\Master%20-%20E-Guru%20K-13%20-%20pa%20Agus%20-%20S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NDUAN"/>
      <sheetName val="Menu"/>
      <sheetName val="DataPengawas"/>
      <sheetName val="Pej_Penilai"/>
      <sheetName val="COVER"/>
      <sheetName val="AngkaKredit"/>
      <sheetName val="Target"/>
      <sheetName val="Target (2)"/>
      <sheetName val="Realisasi"/>
      <sheetName val="Rekap_PPKP"/>
      <sheetName val="Penunjang"/>
      <sheetName val="PrilakuKerja"/>
      <sheetName val="Capaian"/>
      <sheetName val="SKP"/>
      <sheetName val="PENILAIAN_SKP"/>
      <sheetName val="PRESTASI_KERJA"/>
      <sheetName val="ANJAB"/>
      <sheetName val="ABK"/>
      <sheetName val="DasarHukum"/>
      <sheetName val="Kriteria"/>
      <sheetName val="Rubrik"/>
      <sheetName val="Rubrik (2)"/>
      <sheetName val="Jumlah_KD"/>
      <sheetName val="Rumus"/>
      <sheetName val="Contoh"/>
      <sheetName val="NyankBikin"/>
      <sheetName val="catatan"/>
      <sheetName val="SK_Tutam"/>
      <sheetName val="Data_Terima"/>
    </sheetNames>
    <sheetDataSet>
      <sheetData sheetId="0" refreshError="1"/>
      <sheetData sheetId="1" refreshError="1"/>
      <sheetData sheetId="2" refreshError="1">
        <row r="6">
          <cell r="B6">
            <v>1</v>
          </cell>
          <cell r="C6" t="str">
            <v>Dr. H. IDRUS ALWI, M.Pd</v>
          </cell>
          <cell r="D6" t="str">
            <v>19681222 198903 1 002</v>
          </cell>
          <cell r="E6">
            <v>10</v>
          </cell>
          <cell r="F6" t="str">
            <v>Pembina Tk I</v>
          </cell>
          <cell r="G6" t="str">
            <v>IV/b</v>
          </cell>
          <cell r="H6" t="str">
            <v>Pengawas Madya</v>
          </cell>
          <cell r="I6" t="str">
            <v>Kantor Kementerian Agama Kota Jakarta Timur</v>
          </cell>
          <cell r="K6">
            <v>1</v>
          </cell>
          <cell r="L6" t="str">
            <v>Pengatur Muda</v>
          </cell>
          <cell r="M6" t="str">
            <v>II/a</v>
          </cell>
        </row>
        <row r="7">
          <cell r="B7">
            <v>2</v>
          </cell>
          <cell r="C7" t="str">
            <v>Drs. H. SUJANGI</v>
          </cell>
          <cell r="D7" t="str">
            <v>19590814 198203 1 004</v>
          </cell>
          <cell r="E7">
            <v>9</v>
          </cell>
          <cell r="F7" t="str">
            <v>Pembina</v>
          </cell>
          <cell r="G7" t="str">
            <v>IV/a</v>
          </cell>
          <cell r="H7" t="str">
            <v>Pengawas Madya</v>
          </cell>
          <cell r="I7" t="str">
            <v>Kantor Kementerian Agama Kota Jakarta Timur</v>
          </cell>
          <cell r="K7">
            <v>2</v>
          </cell>
          <cell r="L7" t="str">
            <v>Pengatur Muda Tk I</v>
          </cell>
          <cell r="M7" t="str">
            <v>II/b</v>
          </cell>
        </row>
        <row r="8">
          <cell r="B8">
            <v>3</v>
          </cell>
          <cell r="C8" t="str">
            <v>Drs. M. SALEH</v>
          </cell>
          <cell r="D8" t="str">
            <v>19610801 199603 1 001</v>
          </cell>
          <cell r="E8">
            <v>10</v>
          </cell>
          <cell r="F8" t="str">
            <v>Pembina Tk I</v>
          </cell>
          <cell r="G8" t="str">
            <v>IV/b</v>
          </cell>
          <cell r="H8" t="str">
            <v>Pengawas Madya</v>
          </cell>
          <cell r="I8" t="str">
            <v>Kantor Kementerian Agama Kota Jakarta Timur</v>
          </cell>
          <cell r="K8">
            <v>3</v>
          </cell>
          <cell r="L8" t="str">
            <v>Pengatur</v>
          </cell>
          <cell r="M8" t="str">
            <v>II/c</v>
          </cell>
        </row>
        <row r="9">
          <cell r="B9">
            <v>4</v>
          </cell>
          <cell r="C9" t="str">
            <v>SITI NURBAITI, S.Ag, M.Pd.I</v>
          </cell>
          <cell r="D9" t="str">
            <v>19690621 199303 2 002</v>
          </cell>
          <cell r="E9">
            <v>9</v>
          </cell>
          <cell r="F9" t="str">
            <v>Pembina</v>
          </cell>
          <cell r="G9" t="str">
            <v>IV/a</v>
          </cell>
          <cell r="H9" t="str">
            <v>Pengawas Madya</v>
          </cell>
          <cell r="I9" t="str">
            <v>Kantor Kementerian Agama Kota Jakarta Timur</v>
          </cell>
          <cell r="K9">
            <v>4</v>
          </cell>
          <cell r="L9" t="str">
            <v>Pengatur Tk I</v>
          </cell>
          <cell r="M9" t="str">
            <v>II/d</v>
          </cell>
        </row>
        <row r="10">
          <cell r="B10">
            <v>5</v>
          </cell>
          <cell r="C10" t="str">
            <v>Drs. A. AMIN MUSTOFA, M.Pd</v>
          </cell>
          <cell r="D10" t="str">
            <v>19670303 199603 1 002</v>
          </cell>
          <cell r="E10">
            <v>9</v>
          </cell>
          <cell r="F10" t="str">
            <v>Pembina</v>
          </cell>
          <cell r="G10" t="str">
            <v>IV/a</v>
          </cell>
          <cell r="H10" t="str">
            <v>Pengawas Madya</v>
          </cell>
          <cell r="I10" t="str">
            <v>Kantor Kementerian Agama Kota Jakarta Timur</v>
          </cell>
          <cell r="K10">
            <v>5</v>
          </cell>
          <cell r="L10" t="str">
            <v>Penata Muda</v>
          </cell>
          <cell r="M10" t="str">
            <v>III/a</v>
          </cell>
        </row>
        <row r="11">
          <cell r="B11">
            <v>6</v>
          </cell>
          <cell r="C11" t="str">
            <v>Drs. AKHMAD SUGANDA, M.Pd</v>
          </cell>
          <cell r="D11" t="str">
            <v>19600831 198703 1 002</v>
          </cell>
          <cell r="E11">
            <v>9</v>
          </cell>
          <cell r="F11" t="str">
            <v>Pembina</v>
          </cell>
          <cell r="G11" t="str">
            <v>IV/a</v>
          </cell>
          <cell r="H11" t="str">
            <v>Pengawas Madya</v>
          </cell>
          <cell r="I11" t="str">
            <v>Kantor Kementerian Agama Kota Jakarta Timur</v>
          </cell>
          <cell r="K11">
            <v>6</v>
          </cell>
          <cell r="L11" t="str">
            <v>Penata Muda Tk I</v>
          </cell>
          <cell r="M11" t="str">
            <v>III/b</v>
          </cell>
        </row>
        <row r="12">
          <cell r="B12">
            <v>7</v>
          </cell>
          <cell r="C12" t="str">
            <v>Dr. Hj. KUN SRI WARDHANI, M.Pd</v>
          </cell>
          <cell r="D12" t="str">
            <v>19650803 200501 2 004</v>
          </cell>
          <cell r="E12">
            <v>8</v>
          </cell>
          <cell r="F12" t="str">
            <v>Penata Tk I</v>
          </cell>
          <cell r="G12" t="str">
            <v>III/d</v>
          </cell>
          <cell r="H12" t="str">
            <v>Pengawas Muda</v>
          </cell>
          <cell r="I12" t="str">
            <v>Kantor Kementerian Agama Kota Jakarta Timur</v>
          </cell>
          <cell r="K12">
            <v>7</v>
          </cell>
          <cell r="L12" t="str">
            <v>Penata</v>
          </cell>
          <cell r="M12" t="str">
            <v>III/c</v>
          </cell>
          <cell r="N12" t="str">
            <v>Pengawas Muda</v>
          </cell>
        </row>
        <row r="13">
          <cell r="B13">
            <v>8</v>
          </cell>
          <cell r="C13" t="str">
            <v>ABDUL MANAP, M.Pd</v>
          </cell>
          <cell r="D13" t="str">
            <v>19691002 199803 1 002</v>
          </cell>
          <cell r="E13">
            <v>9</v>
          </cell>
          <cell r="F13" t="str">
            <v>Pembina</v>
          </cell>
          <cell r="G13" t="str">
            <v>IV/a</v>
          </cell>
          <cell r="H13" t="str">
            <v>Pengawas Madya</v>
          </cell>
          <cell r="I13" t="str">
            <v>Kantor Kementerian Agama Kota Jakarta Timur</v>
          </cell>
          <cell r="K13">
            <v>8</v>
          </cell>
          <cell r="L13" t="str">
            <v>Penata Tk I</v>
          </cell>
          <cell r="M13" t="str">
            <v>III/d</v>
          </cell>
          <cell r="N13" t="str">
            <v>Pengawas Muda</v>
          </cell>
        </row>
        <row r="14">
          <cell r="B14">
            <v>9</v>
          </cell>
          <cell r="C14" t="str">
            <v>ABDUL WAHAB, S.Pd</v>
          </cell>
          <cell r="D14" t="str">
            <v>19680812 200312 1 001</v>
          </cell>
          <cell r="E14">
            <v>8</v>
          </cell>
          <cell r="F14" t="str">
            <v>Penata Tk I</v>
          </cell>
          <cell r="G14" t="str">
            <v>III/d</v>
          </cell>
          <cell r="H14" t="str">
            <v>Pengawas Muda</v>
          </cell>
          <cell r="I14" t="str">
            <v>Kantor Kementerian Agama Kota Jakarta Timur</v>
          </cell>
          <cell r="K14">
            <v>9</v>
          </cell>
          <cell r="L14" t="str">
            <v>Pembina</v>
          </cell>
          <cell r="M14" t="str">
            <v>IV/a</v>
          </cell>
          <cell r="N14" t="str">
            <v>Pengawas Madya</v>
          </cell>
        </row>
        <row r="15">
          <cell r="B15">
            <v>10</v>
          </cell>
          <cell r="C15" t="str">
            <v>A. TAUFIK, S.Ag, MM</v>
          </cell>
          <cell r="D15" t="str">
            <v>19641201 199903 1 002</v>
          </cell>
          <cell r="E15">
            <v>9</v>
          </cell>
          <cell r="F15" t="str">
            <v>Pembina</v>
          </cell>
          <cell r="G15" t="str">
            <v>IV/a</v>
          </cell>
          <cell r="H15" t="str">
            <v>Pengawas Madya</v>
          </cell>
          <cell r="I15" t="str">
            <v>Kantor Kementerian Agama Kota Jakarta Timur</v>
          </cell>
          <cell r="K15">
            <v>10</v>
          </cell>
          <cell r="L15" t="str">
            <v>Pembina Tk I</v>
          </cell>
          <cell r="M15" t="str">
            <v>IV/b</v>
          </cell>
          <cell r="N15" t="str">
            <v>Pengawas Madya</v>
          </cell>
        </row>
        <row r="16">
          <cell r="B16">
            <v>11</v>
          </cell>
          <cell r="C16" t="str">
            <v>Drs. HADI WIJAYA</v>
          </cell>
          <cell r="D16" t="str">
            <v>19650514 199903 1 001</v>
          </cell>
          <cell r="E16">
            <v>9</v>
          </cell>
          <cell r="F16" t="str">
            <v>Pembina</v>
          </cell>
          <cell r="G16" t="str">
            <v>IV/a</v>
          </cell>
          <cell r="H16" t="str">
            <v>Pengawas Madya</v>
          </cell>
          <cell r="I16" t="str">
            <v>Kantor Kementerian Agama Kota Jakarta Timur</v>
          </cell>
          <cell r="K16">
            <v>11</v>
          </cell>
          <cell r="L16" t="str">
            <v>Pembina Utama Muda</v>
          </cell>
          <cell r="M16" t="str">
            <v>IV/c</v>
          </cell>
          <cell r="N16" t="str">
            <v>Pengawas Madya</v>
          </cell>
        </row>
        <row r="17">
          <cell r="B17">
            <v>12</v>
          </cell>
          <cell r="C17" t="str">
            <v>ARTATI ISMAILIA, SE, M.Ak</v>
          </cell>
          <cell r="D17" t="str">
            <v>19700601 200212 2 004</v>
          </cell>
          <cell r="E17">
            <v>9</v>
          </cell>
          <cell r="F17" t="str">
            <v>Pembina</v>
          </cell>
          <cell r="G17" t="str">
            <v>IV/a</v>
          </cell>
          <cell r="H17" t="str">
            <v>Pengawas Madya</v>
          </cell>
          <cell r="I17" t="str">
            <v>Kantor Kementerian Agama Kota Jakarta Timur</v>
          </cell>
          <cell r="K17">
            <v>12</v>
          </cell>
          <cell r="L17" t="str">
            <v>Pembina Utama Madya</v>
          </cell>
          <cell r="M17" t="str">
            <v>IV/d</v>
          </cell>
          <cell r="N17" t="str">
            <v>Pengawas Utama</v>
          </cell>
        </row>
        <row r="18">
          <cell r="B18">
            <v>13</v>
          </cell>
          <cell r="C18" t="str">
            <v>Drs. AHMAD KHOTIB, M.Pd</v>
          </cell>
          <cell r="D18" t="str">
            <v>19590703 198703 1 001</v>
          </cell>
          <cell r="E18">
            <v>9</v>
          </cell>
          <cell r="F18" t="str">
            <v>Pembina</v>
          </cell>
          <cell r="G18" t="str">
            <v>IV/a</v>
          </cell>
          <cell r="H18" t="str">
            <v>Pengawas Madya</v>
          </cell>
          <cell r="I18" t="str">
            <v>Kantor Kementerian Agama Kota Jakarta Timur</v>
          </cell>
          <cell r="K18">
            <v>13</v>
          </cell>
          <cell r="L18" t="str">
            <v>Pembina Utama</v>
          </cell>
          <cell r="M18" t="str">
            <v>IV/e</v>
          </cell>
          <cell r="N18" t="str">
            <v>Pengawas Utama</v>
          </cell>
        </row>
        <row r="19">
          <cell r="B19">
            <v>14</v>
          </cell>
          <cell r="C19" t="str">
            <v>SUTAN ASWIN, S.Pd</v>
          </cell>
          <cell r="D19" t="str">
            <v>19600314 198903 1 002</v>
          </cell>
          <cell r="E19">
            <v>10</v>
          </cell>
          <cell r="F19" t="str">
            <v>Pembina Tk I</v>
          </cell>
          <cell r="G19" t="str">
            <v>IV/b</v>
          </cell>
          <cell r="H19" t="str">
            <v>Pengawas Madya</v>
          </cell>
          <cell r="I19" t="str">
            <v>Kantor Kementerian Agama Kota Jakarta Timur</v>
          </cell>
        </row>
        <row r="20">
          <cell r="B20">
            <v>15</v>
          </cell>
          <cell r="C20" t="str">
            <v>Dra. IDA SAIDAH, M.MPd</v>
          </cell>
          <cell r="D20" t="str">
            <v>19650402 199503 2 001</v>
          </cell>
          <cell r="E20">
            <v>9</v>
          </cell>
          <cell r="F20" t="str">
            <v>Pembina</v>
          </cell>
          <cell r="G20" t="str">
            <v>IV/a</v>
          </cell>
          <cell r="H20" t="str">
            <v>Pengawas Madya</v>
          </cell>
          <cell r="I20" t="str">
            <v>Kantor Kementerian Agama Kota Jakarta Timur</v>
          </cell>
        </row>
        <row r="21">
          <cell r="B21">
            <v>16</v>
          </cell>
          <cell r="C21" t="str">
            <v>Dra. Hj. JAMILAH, M.Pd</v>
          </cell>
          <cell r="D21" t="str">
            <v>19620405 199203 2 002</v>
          </cell>
          <cell r="E21">
            <v>9</v>
          </cell>
          <cell r="F21" t="str">
            <v>Pembina</v>
          </cell>
          <cell r="G21" t="str">
            <v>IV/a</v>
          </cell>
          <cell r="H21" t="str">
            <v>Pengawas Madya</v>
          </cell>
          <cell r="I21" t="str">
            <v>Kantor Kementerian Agama Kota Jakarta Timur</v>
          </cell>
        </row>
        <row r="22">
          <cell r="B22">
            <v>17</v>
          </cell>
          <cell r="C22" t="str">
            <v>Dra. Hj. ZURNI ASNIDA</v>
          </cell>
          <cell r="D22" t="str">
            <v>19610228 199001 2 001</v>
          </cell>
          <cell r="E22">
            <v>10</v>
          </cell>
          <cell r="F22" t="str">
            <v>Pembina Tk I</v>
          </cell>
          <cell r="G22" t="str">
            <v>IV/b</v>
          </cell>
          <cell r="H22" t="str">
            <v>Pengawas Madya</v>
          </cell>
          <cell r="I22" t="str">
            <v>Kantor Kementerian Agama Kota Jakarta Timur</v>
          </cell>
        </row>
        <row r="23">
          <cell r="B23">
            <v>18</v>
          </cell>
          <cell r="C23" t="str">
            <v>TANTI ASTRIATIE Z, S.Pd, M.Pd</v>
          </cell>
          <cell r="D23" t="str">
            <v>19730420 200501 2 008</v>
          </cell>
          <cell r="E23">
            <v>8</v>
          </cell>
          <cell r="F23" t="str">
            <v>Penata Tk I</v>
          </cell>
          <cell r="G23" t="str">
            <v>III/d</v>
          </cell>
          <cell r="H23" t="str">
            <v>Pengawas Muda</v>
          </cell>
          <cell r="I23" t="str">
            <v>Kantor Kementerian Agama Kota Jakarta Timur</v>
          </cell>
        </row>
        <row r="24">
          <cell r="B24">
            <v>19</v>
          </cell>
          <cell r="C24" t="str">
            <v>KUSWIYATI, S.Pd, M.Pd</v>
          </cell>
          <cell r="D24" t="str">
            <v>19670916 200312 2 001</v>
          </cell>
          <cell r="E24">
            <v>8</v>
          </cell>
          <cell r="F24" t="str">
            <v>Penata Tk I</v>
          </cell>
          <cell r="G24" t="str">
            <v>III/d</v>
          </cell>
          <cell r="H24" t="str">
            <v>Pengawas Muda</v>
          </cell>
          <cell r="I24" t="str">
            <v>Kantor Kementerian Agama Kota Jakarta Timur</v>
          </cell>
        </row>
        <row r="25">
          <cell r="B25">
            <v>20</v>
          </cell>
          <cell r="C25" t="str">
            <v>RUSDAH, S.Ag</v>
          </cell>
          <cell r="D25" t="str">
            <v>19711208 200501 2 002</v>
          </cell>
          <cell r="E25">
            <v>8</v>
          </cell>
          <cell r="F25" t="str">
            <v>Penata Tk I</v>
          </cell>
          <cell r="G25" t="str">
            <v>III/d</v>
          </cell>
          <cell r="H25" t="str">
            <v>Pengawas Muda</v>
          </cell>
          <cell r="I25" t="str">
            <v>Kantor Kementerian Agama Kota Jakarta Timur</v>
          </cell>
        </row>
        <row r="26">
          <cell r="B26">
            <v>21</v>
          </cell>
          <cell r="C26" t="str">
            <v>WAWAN KURNIAWAN, S.Pd, M.Si</v>
          </cell>
          <cell r="D26" t="str">
            <v>19740814 200501 1 006</v>
          </cell>
          <cell r="E26">
            <v>8</v>
          </cell>
          <cell r="F26" t="str">
            <v>Penata Tk I</v>
          </cell>
          <cell r="G26" t="str">
            <v>III/d</v>
          </cell>
          <cell r="H26" t="str">
            <v>Pengawas Muda</v>
          </cell>
          <cell r="I26" t="str">
            <v>Kantor Kementerian Agama Kota Jakarta Timur</v>
          </cell>
        </row>
        <row r="27">
          <cell r="B27">
            <v>22</v>
          </cell>
          <cell r="C27" t="str">
            <v>MUHAMMAD YUNUS, S.Ag, M.Pd</v>
          </cell>
          <cell r="D27" t="str">
            <v>19731116 200501 1 004</v>
          </cell>
          <cell r="E27">
            <v>8</v>
          </cell>
          <cell r="F27" t="str">
            <v>Penata Tk I</v>
          </cell>
          <cell r="G27" t="str">
            <v>III/d</v>
          </cell>
          <cell r="H27" t="str">
            <v>Pengawas Muda</v>
          </cell>
          <cell r="I27" t="str">
            <v>Kantor Kementerian Agama Kota Jakarta Timur</v>
          </cell>
        </row>
        <row r="28">
          <cell r="B28">
            <v>23</v>
          </cell>
          <cell r="C28" t="str">
            <v>Drs. SASTRO JAGO HARTONO</v>
          </cell>
          <cell r="D28" t="str">
            <v>19630424 199703 1 001</v>
          </cell>
          <cell r="E28">
            <v>9</v>
          </cell>
          <cell r="F28" t="str">
            <v>Pembina</v>
          </cell>
          <cell r="G28" t="str">
            <v>IV/a</v>
          </cell>
          <cell r="H28" t="str">
            <v>Pengawas Madya</v>
          </cell>
          <cell r="I28" t="str">
            <v>Kantor Kementerian Agama Kota Jakarta Timur</v>
          </cell>
        </row>
        <row r="29">
          <cell r="B29">
            <v>24</v>
          </cell>
          <cell r="C29" t="str">
            <v>RUSTIATI, S.Pd, M.Pd</v>
          </cell>
          <cell r="D29" t="str">
            <v>19671022 200604 2 001</v>
          </cell>
          <cell r="E29">
            <v>8</v>
          </cell>
          <cell r="F29" t="str">
            <v>Penata Tk I</v>
          </cell>
          <cell r="G29" t="str">
            <v>III/d</v>
          </cell>
          <cell r="H29" t="str">
            <v>Pengawas Muda</v>
          </cell>
          <cell r="I29" t="str">
            <v>Kantor Kementerian Agama Kota Jakarta Timur</v>
          </cell>
        </row>
        <row r="30">
          <cell r="B30">
            <v>25</v>
          </cell>
          <cell r="C30" t="str">
            <v>SARJONO S.Pd</v>
          </cell>
          <cell r="D30" t="str">
            <v>19660326 200312 1 001</v>
          </cell>
          <cell r="E30">
            <v>8</v>
          </cell>
          <cell r="F30" t="str">
            <v>Penata Tk I</v>
          </cell>
          <cell r="G30" t="str">
            <v>III/d</v>
          </cell>
          <cell r="H30" t="str">
            <v>Pengawas Muda</v>
          </cell>
          <cell r="I30" t="str">
            <v>Kantor Kementerian Agama Kota Jakarta Timur</v>
          </cell>
        </row>
        <row r="31">
          <cell r="B31">
            <v>26</v>
          </cell>
          <cell r="C31" t="str">
            <v>Drs. AGUS UTOYO, MM</v>
          </cell>
          <cell r="D31" t="str">
            <v>19650803 199903 1 002</v>
          </cell>
          <cell r="E31">
            <v>9</v>
          </cell>
          <cell r="F31" t="str">
            <v>Pembina</v>
          </cell>
          <cell r="G31" t="str">
            <v>IV/a</v>
          </cell>
          <cell r="H31" t="str">
            <v>Pengawas Madya</v>
          </cell>
          <cell r="I31" t="str">
            <v>Kantor Kementerian Agama Kota Jakarta Timur</v>
          </cell>
        </row>
        <row r="32">
          <cell r="B32">
            <v>27</v>
          </cell>
          <cell r="C32" t="str">
            <v>MARWI, S.Pd.I</v>
          </cell>
          <cell r="D32" t="str">
            <v>19680927 199603 1 001</v>
          </cell>
          <cell r="E32">
            <v>9</v>
          </cell>
          <cell r="F32" t="str">
            <v>Pembina</v>
          </cell>
          <cell r="G32" t="str">
            <v>IV/a</v>
          </cell>
          <cell r="H32" t="str">
            <v>Pengawas Madya</v>
          </cell>
          <cell r="I32" t="str">
            <v>Kantor Kementerian Agama Kota Jakarta Timur</v>
          </cell>
        </row>
        <row r="33">
          <cell r="B33">
            <v>28</v>
          </cell>
          <cell r="C33" t="str">
            <v>SUHARTONO, S.Pd</v>
          </cell>
          <cell r="D33" t="str">
            <v>19680101 200112 1 002</v>
          </cell>
          <cell r="E33">
            <v>9</v>
          </cell>
          <cell r="F33" t="str">
            <v>Pembina</v>
          </cell>
          <cell r="G33" t="str">
            <v>IV/a</v>
          </cell>
          <cell r="H33" t="str">
            <v>Pengawas Madya</v>
          </cell>
          <cell r="I33" t="str">
            <v>Kantor Kementerian Agama Kota Jakarta Timur</v>
          </cell>
        </row>
        <row r="34">
          <cell r="B34">
            <v>29</v>
          </cell>
          <cell r="C34" t="str">
            <v>EUIS KURAISIN, M.Pd</v>
          </cell>
          <cell r="D34" t="str">
            <v>19690731 199303 2 001</v>
          </cell>
          <cell r="E34">
            <v>9</v>
          </cell>
          <cell r="F34" t="str">
            <v>Pembina</v>
          </cell>
          <cell r="G34" t="str">
            <v>IV/a</v>
          </cell>
          <cell r="H34" t="str">
            <v>Pengawas Madya</v>
          </cell>
          <cell r="I34" t="str">
            <v>Kantor Kementerian Agama Kota Jakarta Timur</v>
          </cell>
        </row>
        <row r="35">
          <cell r="B35">
            <v>30</v>
          </cell>
          <cell r="C35" t="str">
            <v>Dra. Hj. NUROZIAH</v>
          </cell>
          <cell r="D35" t="str">
            <v>19670622 199203 2 002</v>
          </cell>
          <cell r="E35">
            <v>9</v>
          </cell>
          <cell r="F35" t="str">
            <v>Pembina</v>
          </cell>
          <cell r="G35" t="str">
            <v>IV/a</v>
          </cell>
          <cell r="H35" t="str">
            <v>Pengawas Madya</v>
          </cell>
          <cell r="I35" t="str">
            <v>Kantor Kementerian Agama Kota Jakarta Timur</v>
          </cell>
        </row>
        <row r="36">
          <cell r="B36" t="str">
            <v/>
          </cell>
          <cell r="F36" t="str">
            <v/>
          </cell>
          <cell r="G36" t="str">
            <v/>
          </cell>
          <cell r="H36" t="str">
            <v/>
          </cell>
        </row>
        <row r="37">
          <cell r="B37" t="str">
            <v/>
          </cell>
          <cell r="F37" t="str">
            <v/>
          </cell>
          <cell r="G37" t="str">
            <v/>
          </cell>
          <cell r="H37" t="str">
            <v/>
          </cell>
        </row>
        <row r="38">
          <cell r="B38" t="str">
            <v/>
          </cell>
          <cell r="F38" t="str">
            <v/>
          </cell>
          <cell r="G38" t="str">
            <v/>
          </cell>
          <cell r="H38" t="str">
            <v/>
          </cell>
        </row>
        <row r="39">
          <cell r="B39" t="str">
            <v/>
          </cell>
          <cell r="F39" t="str">
            <v/>
          </cell>
          <cell r="G39" t="str">
            <v/>
          </cell>
          <cell r="H39" t="str">
            <v/>
          </cell>
        </row>
        <row r="40">
          <cell r="B40" t="str">
            <v/>
          </cell>
          <cell r="F40" t="str">
            <v/>
          </cell>
          <cell r="G40" t="str">
            <v/>
          </cell>
          <cell r="H40" t="str">
            <v/>
          </cell>
        </row>
        <row r="41">
          <cell r="B41" t="str">
            <v/>
          </cell>
          <cell r="F41" t="str">
            <v/>
          </cell>
          <cell r="G41" t="str">
            <v/>
          </cell>
          <cell r="H41" t="str">
            <v/>
          </cell>
        </row>
        <row r="42">
          <cell r="B42" t="str">
            <v/>
          </cell>
          <cell r="F42" t="str">
            <v/>
          </cell>
          <cell r="G42" t="str">
            <v/>
          </cell>
          <cell r="H42" t="str">
            <v/>
          </cell>
        </row>
        <row r="43">
          <cell r="B43" t="str">
            <v/>
          </cell>
          <cell r="F43" t="str">
            <v/>
          </cell>
          <cell r="G43" t="str">
            <v/>
          </cell>
          <cell r="H43" t="str">
            <v/>
          </cell>
        </row>
        <row r="44">
          <cell r="B44" t="str">
            <v/>
          </cell>
          <cell r="F44" t="str">
            <v/>
          </cell>
          <cell r="G44" t="str">
            <v/>
          </cell>
          <cell r="H44" t="str">
            <v/>
          </cell>
        </row>
        <row r="45">
          <cell r="B45" t="str">
            <v/>
          </cell>
          <cell r="F45" t="str">
            <v/>
          </cell>
          <cell r="G45" t="str">
            <v/>
          </cell>
          <cell r="H45" t="str">
            <v/>
          </cell>
        </row>
        <row r="46">
          <cell r="B46" t="str">
            <v/>
          </cell>
          <cell r="F46" t="str">
            <v/>
          </cell>
          <cell r="G46" t="str">
            <v/>
          </cell>
          <cell r="H46" t="str">
            <v/>
          </cell>
        </row>
        <row r="47">
          <cell r="B47" t="str">
            <v/>
          </cell>
          <cell r="F47" t="str">
            <v/>
          </cell>
          <cell r="G47" t="str">
            <v/>
          </cell>
          <cell r="H47" t="str">
            <v/>
          </cell>
        </row>
        <row r="48">
          <cell r="B48" t="str">
            <v/>
          </cell>
          <cell r="F48" t="str">
            <v/>
          </cell>
          <cell r="G48" t="str">
            <v/>
          </cell>
          <cell r="H48" t="str">
            <v/>
          </cell>
        </row>
        <row r="49">
          <cell r="B49" t="str">
            <v/>
          </cell>
          <cell r="F49" t="str">
            <v/>
          </cell>
          <cell r="G49" t="str">
            <v/>
          </cell>
          <cell r="H49" t="str">
            <v/>
          </cell>
        </row>
        <row r="50">
          <cell r="B50" t="str">
            <v/>
          </cell>
          <cell r="F50" t="str">
            <v/>
          </cell>
          <cell r="G50" t="str">
            <v/>
          </cell>
          <cell r="H50" t="str">
            <v/>
          </cell>
        </row>
        <row r="51">
          <cell r="B51" t="str">
            <v/>
          </cell>
          <cell r="F51" t="str">
            <v/>
          </cell>
          <cell r="G51" t="str">
            <v/>
          </cell>
          <cell r="H51" t="str">
            <v/>
          </cell>
        </row>
        <row r="52">
          <cell r="B52" t="str">
            <v/>
          </cell>
          <cell r="F52" t="str">
            <v/>
          </cell>
          <cell r="G52" t="str">
            <v/>
          </cell>
          <cell r="H52" t="str">
            <v/>
          </cell>
        </row>
        <row r="53">
          <cell r="B53" t="str">
            <v/>
          </cell>
          <cell r="F53" t="str">
            <v/>
          </cell>
          <cell r="G53" t="str">
            <v/>
          </cell>
          <cell r="H53" t="str">
            <v/>
          </cell>
        </row>
        <row r="54">
          <cell r="B54" t="str">
            <v/>
          </cell>
          <cell r="F54" t="str">
            <v/>
          </cell>
          <cell r="G54" t="str">
            <v/>
          </cell>
          <cell r="H54" t="str">
            <v/>
          </cell>
        </row>
        <row r="55">
          <cell r="B55" t="str">
            <v/>
          </cell>
          <cell r="F55" t="str">
            <v/>
          </cell>
          <cell r="G55" t="str">
            <v/>
          </cell>
          <cell r="H55" t="str">
            <v/>
          </cell>
        </row>
        <row r="56">
          <cell r="B56" t="str">
            <v/>
          </cell>
          <cell r="F56" t="str">
            <v/>
          </cell>
          <cell r="G56" t="str">
            <v/>
          </cell>
          <cell r="H56" t="str">
            <v/>
          </cell>
        </row>
        <row r="57">
          <cell r="B57" t="str">
            <v/>
          </cell>
          <cell r="F57" t="str">
            <v/>
          </cell>
          <cell r="G57" t="str">
            <v/>
          </cell>
          <cell r="H57" t="str">
            <v/>
          </cell>
        </row>
        <row r="58">
          <cell r="B58" t="str">
            <v/>
          </cell>
          <cell r="F58" t="str">
            <v/>
          </cell>
          <cell r="G58" t="str">
            <v/>
          </cell>
          <cell r="H58" t="str">
            <v/>
          </cell>
        </row>
        <row r="59">
          <cell r="B59" t="str">
            <v/>
          </cell>
          <cell r="F59" t="str">
            <v/>
          </cell>
          <cell r="G59" t="str">
            <v/>
          </cell>
          <cell r="H59" t="str">
            <v/>
          </cell>
        </row>
        <row r="60">
          <cell r="B60" t="str">
            <v/>
          </cell>
          <cell r="F60" t="str">
            <v/>
          </cell>
          <cell r="G60" t="str">
            <v/>
          </cell>
          <cell r="H60" t="str">
            <v/>
          </cell>
        </row>
        <row r="61">
          <cell r="B61" t="str">
            <v/>
          </cell>
          <cell r="F61" t="str">
            <v/>
          </cell>
          <cell r="G61" t="str">
            <v/>
          </cell>
          <cell r="H61" t="str">
            <v/>
          </cell>
        </row>
        <row r="62">
          <cell r="B62" t="str">
            <v/>
          </cell>
          <cell r="F62" t="str">
            <v/>
          </cell>
          <cell r="G62" t="str">
            <v/>
          </cell>
          <cell r="H62" t="str">
            <v/>
          </cell>
        </row>
        <row r="63">
          <cell r="B63" t="str">
            <v/>
          </cell>
          <cell r="F63" t="str">
            <v/>
          </cell>
          <cell r="G63" t="str">
            <v/>
          </cell>
          <cell r="H63" t="str">
            <v/>
          </cell>
        </row>
        <row r="64">
          <cell r="B64" t="str">
            <v/>
          </cell>
          <cell r="F64" t="str">
            <v/>
          </cell>
          <cell r="G64" t="str">
            <v/>
          </cell>
          <cell r="H64" t="str">
            <v/>
          </cell>
        </row>
        <row r="65">
          <cell r="B65" t="str">
            <v/>
          </cell>
          <cell r="F65" t="str">
            <v/>
          </cell>
          <cell r="G65" t="str">
            <v/>
          </cell>
          <cell r="H65" t="str">
            <v/>
          </cell>
        </row>
        <row r="66">
          <cell r="B66" t="str">
            <v/>
          </cell>
          <cell r="F66" t="str">
            <v/>
          </cell>
          <cell r="G66" t="str">
            <v/>
          </cell>
          <cell r="H66" t="str">
            <v/>
          </cell>
        </row>
        <row r="67">
          <cell r="B67" t="str">
            <v/>
          </cell>
          <cell r="F67" t="str">
            <v/>
          </cell>
          <cell r="G67" t="str">
            <v/>
          </cell>
          <cell r="H67" t="str">
            <v/>
          </cell>
        </row>
        <row r="68">
          <cell r="B68" t="str">
            <v/>
          </cell>
          <cell r="F68" t="str">
            <v/>
          </cell>
          <cell r="G68" t="str">
            <v/>
          </cell>
          <cell r="H68" t="str">
            <v/>
          </cell>
        </row>
        <row r="69">
          <cell r="B69" t="str">
            <v/>
          </cell>
          <cell r="F69" t="str">
            <v/>
          </cell>
          <cell r="G69" t="str">
            <v/>
          </cell>
          <cell r="H69" t="str">
            <v/>
          </cell>
        </row>
        <row r="70">
          <cell r="B70" t="str">
            <v/>
          </cell>
          <cell r="F70" t="str">
            <v/>
          </cell>
          <cell r="G70" t="str">
            <v/>
          </cell>
          <cell r="H70" t="str">
            <v/>
          </cell>
        </row>
        <row r="71">
          <cell r="B71" t="str">
            <v/>
          </cell>
          <cell r="F71" t="str">
            <v/>
          </cell>
          <cell r="G71" t="str">
            <v/>
          </cell>
          <cell r="H71" t="str">
            <v/>
          </cell>
        </row>
        <row r="72">
          <cell r="B72" t="str">
            <v/>
          </cell>
          <cell r="F72" t="str">
            <v/>
          </cell>
          <cell r="G72" t="str">
            <v/>
          </cell>
          <cell r="H72" t="str">
            <v/>
          </cell>
        </row>
        <row r="73">
          <cell r="B73" t="str">
            <v/>
          </cell>
          <cell r="F73" t="str">
            <v/>
          </cell>
          <cell r="G73" t="str">
            <v/>
          </cell>
          <cell r="H73" t="str">
            <v/>
          </cell>
        </row>
        <row r="74">
          <cell r="B74" t="str">
            <v/>
          </cell>
          <cell r="F74" t="str">
            <v/>
          </cell>
          <cell r="G74" t="str">
            <v/>
          </cell>
          <cell r="H74" t="str">
            <v/>
          </cell>
        </row>
        <row r="75">
          <cell r="B75" t="str">
            <v/>
          </cell>
          <cell r="F75" t="str">
            <v/>
          </cell>
          <cell r="G75" t="str">
            <v/>
          </cell>
          <cell r="H75" t="str">
            <v/>
          </cell>
        </row>
        <row r="76">
          <cell r="B76" t="str">
            <v/>
          </cell>
          <cell r="F76" t="str">
            <v/>
          </cell>
          <cell r="G76" t="str">
            <v/>
          </cell>
          <cell r="H76" t="str">
            <v/>
          </cell>
        </row>
        <row r="77">
          <cell r="B77" t="str">
            <v/>
          </cell>
          <cell r="F77" t="str">
            <v/>
          </cell>
          <cell r="G77" t="str">
            <v/>
          </cell>
          <cell r="H77" t="str">
            <v/>
          </cell>
        </row>
        <row r="78">
          <cell r="B78" t="str">
            <v/>
          </cell>
          <cell r="F78" t="str">
            <v/>
          </cell>
          <cell r="G78" t="str">
            <v/>
          </cell>
          <cell r="H78" t="str">
            <v/>
          </cell>
        </row>
        <row r="79">
          <cell r="B79" t="str">
            <v/>
          </cell>
          <cell r="F79" t="str">
            <v/>
          </cell>
          <cell r="G79" t="str">
            <v/>
          </cell>
          <cell r="H79" t="str">
            <v/>
          </cell>
        </row>
        <row r="80">
          <cell r="B80" t="str">
            <v/>
          </cell>
          <cell r="F80" t="str">
            <v/>
          </cell>
          <cell r="G80" t="str">
            <v/>
          </cell>
          <cell r="H80" t="str">
            <v/>
          </cell>
        </row>
        <row r="81">
          <cell r="B81" t="str">
            <v/>
          </cell>
          <cell r="F81" t="str">
            <v/>
          </cell>
          <cell r="G81" t="str">
            <v/>
          </cell>
          <cell r="H81" t="str">
            <v/>
          </cell>
        </row>
        <row r="82">
          <cell r="B82" t="str">
            <v/>
          </cell>
          <cell r="F82" t="str">
            <v/>
          </cell>
          <cell r="G82" t="str">
            <v/>
          </cell>
          <cell r="H82" t="str">
            <v/>
          </cell>
        </row>
        <row r="83">
          <cell r="B83" t="str">
            <v/>
          </cell>
          <cell r="F83" t="str">
            <v/>
          </cell>
          <cell r="G83" t="str">
            <v/>
          </cell>
          <cell r="H83" t="str">
            <v/>
          </cell>
        </row>
        <row r="84">
          <cell r="B84" t="str">
            <v/>
          </cell>
          <cell r="F84" t="str">
            <v/>
          </cell>
          <cell r="G84" t="str">
            <v/>
          </cell>
          <cell r="H84" t="str">
            <v/>
          </cell>
        </row>
        <row r="85">
          <cell r="B85" t="str">
            <v/>
          </cell>
          <cell r="F85" t="str">
            <v/>
          </cell>
          <cell r="G85" t="str">
            <v/>
          </cell>
          <cell r="H85" t="str">
            <v/>
          </cell>
        </row>
        <row r="86">
          <cell r="B86" t="str">
            <v/>
          </cell>
          <cell r="F86" t="str">
            <v/>
          </cell>
          <cell r="G86" t="str">
            <v/>
          </cell>
          <cell r="H86" t="str">
            <v/>
          </cell>
        </row>
        <row r="87">
          <cell r="B87" t="str">
            <v/>
          </cell>
          <cell r="F87" t="str">
            <v/>
          </cell>
          <cell r="G87" t="str">
            <v/>
          </cell>
          <cell r="H87" t="str">
            <v/>
          </cell>
        </row>
        <row r="88">
          <cell r="B88" t="str">
            <v/>
          </cell>
          <cell r="F88" t="str">
            <v/>
          </cell>
          <cell r="G88" t="str">
            <v/>
          </cell>
          <cell r="H88" t="str">
            <v/>
          </cell>
        </row>
        <row r="89">
          <cell r="B89" t="str">
            <v/>
          </cell>
          <cell r="F89" t="str">
            <v/>
          </cell>
          <cell r="G89" t="str">
            <v/>
          </cell>
          <cell r="H89" t="str">
            <v/>
          </cell>
        </row>
        <row r="90">
          <cell r="B90" t="str">
            <v/>
          </cell>
          <cell r="F90" t="str">
            <v/>
          </cell>
          <cell r="G90" t="str">
            <v/>
          </cell>
          <cell r="H90" t="str">
            <v/>
          </cell>
        </row>
        <row r="91">
          <cell r="B91" t="str">
            <v/>
          </cell>
          <cell r="F91" t="str">
            <v/>
          </cell>
          <cell r="G91" t="str">
            <v/>
          </cell>
          <cell r="H91" t="str">
            <v/>
          </cell>
        </row>
        <row r="92">
          <cell r="B92" t="str">
            <v/>
          </cell>
          <cell r="F92" t="str">
            <v/>
          </cell>
          <cell r="G92" t="str">
            <v/>
          </cell>
          <cell r="H92" t="str">
            <v/>
          </cell>
        </row>
        <row r="93">
          <cell r="B93" t="str">
            <v/>
          </cell>
          <cell r="F93" t="str">
            <v/>
          </cell>
          <cell r="G93" t="str">
            <v/>
          </cell>
          <cell r="H93" t="str">
            <v/>
          </cell>
        </row>
        <row r="94">
          <cell r="B94" t="str">
            <v/>
          </cell>
          <cell r="F94" t="str">
            <v/>
          </cell>
          <cell r="G94" t="str">
            <v/>
          </cell>
          <cell r="H94" t="str">
            <v/>
          </cell>
        </row>
        <row r="95">
          <cell r="B95" t="str">
            <v/>
          </cell>
          <cell r="F95" t="str">
            <v/>
          </cell>
          <cell r="G95" t="str">
            <v/>
          </cell>
          <cell r="H95" t="str">
            <v/>
          </cell>
        </row>
        <row r="96">
          <cell r="B96" t="str">
            <v/>
          </cell>
          <cell r="F96" t="str">
            <v/>
          </cell>
          <cell r="G96" t="str">
            <v/>
          </cell>
          <cell r="H96" t="str">
            <v/>
          </cell>
        </row>
        <row r="97">
          <cell r="B97" t="str">
            <v/>
          </cell>
          <cell r="F97" t="str">
            <v/>
          </cell>
          <cell r="G97" t="str">
            <v/>
          </cell>
          <cell r="H97" t="str">
            <v/>
          </cell>
        </row>
        <row r="98">
          <cell r="B98" t="str">
            <v/>
          </cell>
          <cell r="F98" t="str">
            <v/>
          </cell>
          <cell r="G98" t="str">
            <v/>
          </cell>
          <cell r="H98" t="str">
            <v/>
          </cell>
        </row>
        <row r="99">
          <cell r="B99" t="str">
            <v/>
          </cell>
          <cell r="F99" t="str">
            <v/>
          </cell>
          <cell r="G99" t="str">
            <v/>
          </cell>
          <cell r="H99" t="str">
            <v/>
          </cell>
        </row>
        <row r="100">
          <cell r="B100" t="str">
            <v/>
          </cell>
          <cell r="F100" t="str">
            <v/>
          </cell>
          <cell r="G100" t="str">
            <v/>
          </cell>
          <cell r="H100" t="str">
            <v/>
          </cell>
        </row>
        <row r="101">
          <cell r="B101" t="str">
            <v/>
          </cell>
          <cell r="F101" t="str">
            <v/>
          </cell>
          <cell r="G101" t="str">
            <v/>
          </cell>
          <cell r="H101" t="str">
            <v/>
          </cell>
        </row>
        <row r="102">
          <cell r="B102" t="str">
            <v/>
          </cell>
          <cell r="F102" t="str">
            <v/>
          </cell>
          <cell r="G102" t="str">
            <v/>
          </cell>
          <cell r="H102" t="str">
            <v/>
          </cell>
        </row>
        <row r="103">
          <cell r="B103" t="str">
            <v/>
          </cell>
          <cell r="F103" t="str">
            <v/>
          </cell>
          <cell r="G103" t="str">
            <v/>
          </cell>
          <cell r="H103" t="str">
            <v/>
          </cell>
        </row>
        <row r="104">
          <cell r="B104" t="str">
            <v/>
          </cell>
          <cell r="F104" t="str">
            <v/>
          </cell>
          <cell r="G104" t="str">
            <v/>
          </cell>
          <cell r="H104" t="str">
            <v/>
          </cell>
        </row>
        <row r="105">
          <cell r="B105" t="str">
            <v/>
          </cell>
          <cell r="F105" t="str">
            <v/>
          </cell>
          <cell r="G105" t="str">
            <v/>
          </cell>
          <cell r="H105" t="str">
            <v/>
          </cell>
        </row>
        <row r="106">
          <cell r="B106" t="str">
            <v/>
          </cell>
          <cell r="F106" t="str">
            <v/>
          </cell>
          <cell r="G106" t="str">
            <v/>
          </cell>
          <cell r="H106" t="str">
            <v/>
          </cell>
        </row>
        <row r="107">
          <cell r="B107" t="str">
            <v/>
          </cell>
          <cell r="F107" t="str">
            <v/>
          </cell>
          <cell r="G107" t="str">
            <v/>
          </cell>
          <cell r="H107" t="str">
            <v/>
          </cell>
        </row>
        <row r="108">
          <cell r="B108" t="str">
            <v/>
          </cell>
          <cell r="F108" t="str">
            <v/>
          </cell>
          <cell r="G108" t="str">
            <v/>
          </cell>
          <cell r="H108" t="str">
            <v/>
          </cell>
        </row>
        <row r="109">
          <cell r="B109" t="str">
            <v/>
          </cell>
          <cell r="F109" t="str">
            <v/>
          </cell>
          <cell r="G109" t="str">
            <v/>
          </cell>
          <cell r="H109" t="str">
            <v/>
          </cell>
        </row>
        <row r="110">
          <cell r="B110" t="str">
            <v/>
          </cell>
          <cell r="F110" t="str">
            <v/>
          </cell>
          <cell r="G110" t="str">
            <v/>
          </cell>
          <cell r="H110" t="str">
            <v/>
          </cell>
        </row>
        <row r="111">
          <cell r="B111" t="str">
            <v/>
          </cell>
          <cell r="F111" t="str">
            <v/>
          </cell>
          <cell r="G111" t="str">
            <v/>
          </cell>
          <cell r="H111" t="str">
            <v/>
          </cell>
        </row>
        <row r="112">
          <cell r="B112" t="str">
            <v/>
          </cell>
          <cell r="F112" t="str">
            <v/>
          </cell>
          <cell r="G112" t="str">
            <v/>
          </cell>
          <cell r="H112" t="str">
            <v/>
          </cell>
        </row>
        <row r="113">
          <cell r="B113" t="str">
            <v/>
          </cell>
          <cell r="F113" t="str">
            <v/>
          </cell>
          <cell r="G113" t="str">
            <v/>
          </cell>
          <cell r="H113" t="str">
            <v/>
          </cell>
        </row>
        <row r="114">
          <cell r="B114" t="str">
            <v/>
          </cell>
          <cell r="F114" t="str">
            <v/>
          </cell>
          <cell r="G114" t="str">
            <v/>
          </cell>
          <cell r="H114" t="str">
            <v/>
          </cell>
        </row>
        <row r="115">
          <cell r="B115" t="str">
            <v/>
          </cell>
          <cell r="F115" t="str">
            <v/>
          </cell>
          <cell r="G115" t="str">
            <v/>
          </cell>
          <cell r="H115" t="str">
            <v/>
          </cell>
        </row>
        <row r="116">
          <cell r="B116" t="str">
            <v/>
          </cell>
          <cell r="F116" t="str">
            <v/>
          </cell>
          <cell r="G116" t="str">
            <v/>
          </cell>
          <cell r="H116" t="str">
            <v/>
          </cell>
        </row>
        <row r="117">
          <cell r="B117" t="str">
            <v/>
          </cell>
          <cell r="F117" t="str">
            <v/>
          </cell>
          <cell r="G117" t="str">
            <v/>
          </cell>
          <cell r="H117" t="str">
            <v/>
          </cell>
        </row>
        <row r="118">
          <cell r="B118" t="str">
            <v/>
          </cell>
          <cell r="F118" t="str">
            <v/>
          </cell>
          <cell r="G118" t="str">
            <v/>
          </cell>
          <cell r="H118" t="str">
            <v/>
          </cell>
        </row>
        <row r="119">
          <cell r="B119" t="str">
            <v/>
          </cell>
          <cell r="F119" t="str">
            <v/>
          </cell>
          <cell r="G119" t="str">
            <v/>
          </cell>
          <cell r="H119" t="str">
            <v/>
          </cell>
        </row>
        <row r="120">
          <cell r="B120" t="str">
            <v/>
          </cell>
          <cell r="F120" t="str">
            <v/>
          </cell>
          <cell r="G120" t="str">
            <v/>
          </cell>
          <cell r="H120" t="str">
            <v/>
          </cell>
        </row>
        <row r="121">
          <cell r="B121" t="str">
            <v/>
          </cell>
          <cell r="F121" t="str">
            <v/>
          </cell>
          <cell r="G121" t="str">
            <v/>
          </cell>
          <cell r="H121" t="str">
            <v/>
          </cell>
        </row>
        <row r="122">
          <cell r="B122" t="str">
            <v/>
          </cell>
          <cell r="F122" t="str">
            <v/>
          </cell>
          <cell r="G122" t="str">
            <v/>
          </cell>
          <cell r="H122" t="str">
            <v/>
          </cell>
        </row>
        <row r="123">
          <cell r="B123" t="str">
            <v/>
          </cell>
          <cell r="F123" t="str">
            <v/>
          </cell>
          <cell r="G123" t="str">
            <v/>
          </cell>
          <cell r="H123" t="str">
            <v/>
          </cell>
        </row>
        <row r="124">
          <cell r="B124" t="str">
            <v/>
          </cell>
          <cell r="F124" t="str">
            <v/>
          </cell>
          <cell r="G124" t="str">
            <v/>
          </cell>
          <cell r="H124" t="str">
            <v/>
          </cell>
        </row>
        <row r="125">
          <cell r="B125" t="str">
            <v/>
          </cell>
          <cell r="F125" t="str">
            <v/>
          </cell>
          <cell r="G125" t="str">
            <v/>
          </cell>
          <cell r="H125" t="str">
            <v/>
          </cell>
        </row>
        <row r="126">
          <cell r="B126" t="str">
            <v/>
          </cell>
          <cell r="F126" t="str">
            <v/>
          </cell>
          <cell r="G126" t="str">
            <v/>
          </cell>
          <cell r="H126" t="str">
            <v/>
          </cell>
        </row>
        <row r="127">
          <cell r="B127" t="str">
            <v/>
          </cell>
          <cell r="F127" t="str">
            <v/>
          </cell>
          <cell r="G127" t="str">
            <v/>
          </cell>
          <cell r="H127" t="str">
            <v/>
          </cell>
        </row>
        <row r="128">
          <cell r="B128" t="str">
            <v/>
          </cell>
          <cell r="F128" t="str">
            <v/>
          </cell>
          <cell r="G128" t="str">
            <v/>
          </cell>
          <cell r="H128" t="str">
            <v/>
          </cell>
        </row>
        <row r="129">
          <cell r="B129" t="str">
            <v/>
          </cell>
          <cell r="F129" t="str">
            <v/>
          </cell>
          <cell r="G129" t="str">
            <v/>
          </cell>
          <cell r="H129" t="str">
            <v/>
          </cell>
        </row>
        <row r="130">
          <cell r="B130" t="str">
            <v/>
          </cell>
          <cell r="F130" t="str">
            <v/>
          </cell>
          <cell r="G130" t="str">
            <v/>
          </cell>
          <cell r="H130" t="str">
            <v/>
          </cell>
        </row>
        <row r="131">
          <cell r="B131" t="str">
            <v/>
          </cell>
          <cell r="F131" t="str">
            <v/>
          </cell>
          <cell r="G131" t="str">
            <v/>
          </cell>
          <cell r="H131" t="str">
            <v/>
          </cell>
        </row>
        <row r="132">
          <cell r="B132" t="str">
            <v/>
          </cell>
          <cell r="F132" t="str">
            <v/>
          </cell>
          <cell r="G132" t="str">
            <v/>
          </cell>
          <cell r="H132" t="str">
            <v/>
          </cell>
        </row>
        <row r="133">
          <cell r="B133" t="str">
            <v/>
          </cell>
          <cell r="F133" t="str">
            <v/>
          </cell>
          <cell r="G133" t="str">
            <v/>
          </cell>
          <cell r="H133" t="str">
            <v/>
          </cell>
        </row>
        <row r="134">
          <cell r="B134" t="str">
            <v/>
          </cell>
          <cell r="F134" t="str">
            <v/>
          </cell>
          <cell r="G134" t="str">
            <v/>
          </cell>
          <cell r="H134" t="str">
            <v/>
          </cell>
        </row>
        <row r="135">
          <cell r="B135" t="str">
            <v/>
          </cell>
          <cell r="F135" t="str">
            <v/>
          </cell>
          <cell r="G135" t="str">
            <v/>
          </cell>
          <cell r="H135" t="str">
            <v/>
          </cell>
        </row>
        <row r="136">
          <cell r="B136" t="str">
            <v/>
          </cell>
          <cell r="F136" t="str">
            <v/>
          </cell>
          <cell r="G136" t="str">
            <v/>
          </cell>
          <cell r="H136" t="str">
            <v/>
          </cell>
        </row>
        <row r="137">
          <cell r="B137" t="str">
            <v/>
          </cell>
          <cell r="F137" t="str">
            <v/>
          </cell>
          <cell r="G137" t="str">
            <v/>
          </cell>
          <cell r="H137" t="str">
            <v/>
          </cell>
        </row>
        <row r="138">
          <cell r="B138" t="str">
            <v/>
          </cell>
          <cell r="F138" t="str">
            <v/>
          </cell>
          <cell r="G138" t="str">
            <v/>
          </cell>
          <cell r="H138" t="str">
            <v/>
          </cell>
        </row>
        <row r="139">
          <cell r="B139" t="str">
            <v/>
          </cell>
          <cell r="F139" t="str">
            <v/>
          </cell>
          <cell r="G139" t="str">
            <v/>
          </cell>
          <cell r="H139" t="str">
            <v/>
          </cell>
        </row>
        <row r="140">
          <cell r="B140" t="str">
            <v/>
          </cell>
          <cell r="F140" t="str">
            <v/>
          </cell>
          <cell r="G140" t="str">
            <v/>
          </cell>
          <cell r="H140" t="str">
            <v/>
          </cell>
        </row>
        <row r="141">
          <cell r="B141" t="str">
            <v/>
          </cell>
          <cell r="F141" t="str">
            <v/>
          </cell>
          <cell r="G141" t="str">
            <v/>
          </cell>
          <cell r="H141" t="str">
            <v/>
          </cell>
        </row>
        <row r="142">
          <cell r="B142" t="str">
            <v/>
          </cell>
          <cell r="F142" t="str">
            <v/>
          </cell>
          <cell r="G142" t="str">
            <v/>
          </cell>
          <cell r="H142" t="str">
            <v/>
          </cell>
        </row>
        <row r="143">
          <cell r="B143" t="str">
            <v/>
          </cell>
        </row>
      </sheetData>
      <sheetData sheetId="3" refreshError="1"/>
      <sheetData sheetId="4" refreshError="1"/>
      <sheetData sheetId="5" refreshError="1">
        <row r="5">
          <cell r="C5">
            <v>1</v>
          </cell>
          <cell r="D5" t="str">
            <v>2a</v>
          </cell>
        </row>
        <row r="6">
          <cell r="C6">
            <v>2</v>
          </cell>
          <cell r="D6" t="str">
            <v>2b</v>
          </cell>
        </row>
        <row r="7">
          <cell r="C7">
            <v>3</v>
          </cell>
          <cell r="D7" t="str">
            <v>2c</v>
          </cell>
        </row>
        <row r="8">
          <cell r="C8">
            <v>4</v>
          </cell>
          <cell r="D8" t="str">
            <v>2d</v>
          </cell>
        </row>
        <row r="9">
          <cell r="C9">
            <v>5</v>
          </cell>
          <cell r="D9" t="str">
            <v>3a</v>
          </cell>
        </row>
        <row r="10">
          <cell r="C10">
            <v>6</v>
          </cell>
          <cell r="D10" t="str">
            <v>3b</v>
          </cell>
        </row>
        <row r="11">
          <cell r="C11">
            <v>7</v>
          </cell>
          <cell r="D11" t="str">
            <v>3c</v>
          </cell>
          <cell r="E11" t="str">
            <v>Muda</v>
          </cell>
          <cell r="F11" t="str">
            <v>Menyusun program tahunan pengawasan</v>
          </cell>
          <cell r="G11">
            <v>0.6</v>
          </cell>
          <cell r="H11" t="str">
            <v>Setiap program</v>
          </cell>
        </row>
        <row r="12">
          <cell r="C12">
            <v>8</v>
          </cell>
          <cell r="D12" t="str">
            <v>3d</v>
          </cell>
          <cell r="E12" t="str">
            <v>Muda</v>
          </cell>
          <cell r="F12" t="str">
            <v>Menyusun program tahunan pengawasan</v>
          </cell>
          <cell r="G12">
            <v>0.6</v>
          </cell>
          <cell r="H12" t="str">
            <v>Setiap program</v>
          </cell>
        </row>
        <row r="13">
          <cell r="C13">
            <v>9</v>
          </cell>
          <cell r="D13" t="str">
            <v>4a</v>
          </cell>
          <cell r="E13" t="str">
            <v>Madya</v>
          </cell>
          <cell r="F13" t="str">
            <v>Menyusun program tahunan pengawasan</v>
          </cell>
          <cell r="G13">
            <v>0.9</v>
          </cell>
          <cell r="H13" t="str">
            <v>Setiap program</v>
          </cell>
        </row>
        <row r="14">
          <cell r="C14">
            <v>10</v>
          </cell>
          <cell r="D14" t="str">
            <v>4b</v>
          </cell>
          <cell r="E14" t="str">
            <v>Madya</v>
          </cell>
          <cell r="F14" t="str">
            <v>Menyusun program tahunan pengawasan</v>
          </cell>
          <cell r="G14">
            <v>0.9</v>
          </cell>
          <cell r="H14" t="str">
            <v>Setiap program</v>
          </cell>
        </row>
        <row r="15">
          <cell r="C15">
            <v>11</v>
          </cell>
          <cell r="D15" t="str">
            <v>4c</v>
          </cell>
          <cell r="E15" t="str">
            <v>Madya</v>
          </cell>
          <cell r="F15" t="str">
            <v>Menyusun program tahunan pengawasan</v>
          </cell>
          <cell r="G15">
            <v>0.9</v>
          </cell>
          <cell r="H15" t="str">
            <v>Setiap program</v>
          </cell>
        </row>
        <row r="16">
          <cell r="C16">
            <v>12</v>
          </cell>
          <cell r="D16" t="str">
            <v>4d</v>
          </cell>
          <cell r="E16" t="str">
            <v>Utama</v>
          </cell>
          <cell r="F16" t="str">
            <v>Menyusun program tahunan pengawasan</v>
          </cell>
          <cell r="G16">
            <v>1.2</v>
          </cell>
          <cell r="H16" t="str">
            <v>Setiap program</v>
          </cell>
        </row>
        <row r="17">
          <cell r="C17">
            <v>13</v>
          </cell>
          <cell r="D17" t="str">
            <v>4e</v>
          </cell>
          <cell r="E17" t="str">
            <v>Utama</v>
          </cell>
          <cell r="F17" t="str">
            <v>Menyusun program tahunan pengawasan</v>
          </cell>
          <cell r="G17">
            <v>1.2</v>
          </cell>
          <cell r="H17" t="str">
            <v>Setiap program</v>
          </cell>
        </row>
        <row r="18">
          <cell r="C18">
            <v>1</v>
          </cell>
          <cell r="D18" t="str">
            <v>2a</v>
          </cell>
        </row>
        <row r="19">
          <cell r="C19">
            <v>2</v>
          </cell>
          <cell r="D19" t="str">
            <v>2b</v>
          </cell>
        </row>
        <row r="20">
          <cell r="C20">
            <v>3</v>
          </cell>
          <cell r="D20" t="str">
            <v>2c</v>
          </cell>
        </row>
        <row r="21">
          <cell r="C21">
            <v>4</v>
          </cell>
          <cell r="D21" t="str">
            <v>2d</v>
          </cell>
        </row>
        <row r="22">
          <cell r="C22">
            <v>5</v>
          </cell>
          <cell r="D22" t="str">
            <v>3a</v>
          </cell>
        </row>
        <row r="23">
          <cell r="C23">
            <v>6</v>
          </cell>
          <cell r="D23" t="str">
            <v>3b</v>
          </cell>
        </row>
        <row r="24">
          <cell r="C24">
            <v>7</v>
          </cell>
          <cell r="D24" t="str">
            <v>3c</v>
          </cell>
          <cell r="E24" t="str">
            <v>Muda</v>
          </cell>
          <cell r="F24" t="str">
            <v>Melaksanakan pembinaan guru dan/atau kepala madrasah</v>
          </cell>
          <cell r="G24">
            <v>5.6</v>
          </cell>
          <cell r="H24" t="str">
            <v>Setiap Laporan</v>
          </cell>
        </row>
        <row r="25">
          <cell r="C25">
            <v>8</v>
          </cell>
          <cell r="D25" t="str">
            <v>3d</v>
          </cell>
          <cell r="E25" t="str">
            <v>Muda</v>
          </cell>
          <cell r="F25" t="str">
            <v>Melaksanakan pembinaan guru dan/atau kepala madrasah</v>
          </cell>
          <cell r="G25">
            <v>5.6</v>
          </cell>
          <cell r="H25" t="str">
            <v>Setiap Laporan</v>
          </cell>
        </row>
        <row r="26">
          <cell r="C26">
            <v>9</v>
          </cell>
          <cell r="D26" t="str">
            <v>4a</v>
          </cell>
          <cell r="E26" t="str">
            <v>Madya</v>
          </cell>
          <cell r="F26" t="str">
            <v>Melaksanakan pembinaan guru dan/atau kepala madrasah</v>
          </cell>
          <cell r="G26">
            <v>6</v>
          </cell>
          <cell r="H26" t="str">
            <v>Setiap Laporan</v>
          </cell>
        </row>
        <row r="27">
          <cell r="C27">
            <v>10</v>
          </cell>
          <cell r="D27" t="str">
            <v>4b</v>
          </cell>
          <cell r="E27" t="str">
            <v>Madya</v>
          </cell>
          <cell r="F27" t="str">
            <v>Melaksanakan pembinaan guru dan/atau kepala madrasah</v>
          </cell>
          <cell r="G27">
            <v>6</v>
          </cell>
          <cell r="H27" t="str">
            <v>Setiap Laporan</v>
          </cell>
        </row>
        <row r="28">
          <cell r="C28">
            <v>11</v>
          </cell>
          <cell r="D28" t="str">
            <v>4c</v>
          </cell>
          <cell r="E28" t="str">
            <v>Madya</v>
          </cell>
          <cell r="F28" t="str">
            <v>Melaksanakan pembinaan guru dan/atau kepala madrasah</v>
          </cell>
          <cell r="G28">
            <v>6</v>
          </cell>
          <cell r="H28" t="str">
            <v>Setiap Laporan</v>
          </cell>
        </row>
        <row r="29">
          <cell r="C29">
            <v>12</v>
          </cell>
          <cell r="D29" t="str">
            <v>4d</v>
          </cell>
          <cell r="E29" t="str">
            <v>Utama</v>
          </cell>
          <cell r="F29" t="str">
            <v>Melaksanakan pembinaan guru dan/atau kepala madrasah</v>
          </cell>
          <cell r="G29">
            <v>8</v>
          </cell>
          <cell r="H29" t="str">
            <v>Setiap Laporan</v>
          </cell>
        </row>
        <row r="30">
          <cell r="C30">
            <v>13</v>
          </cell>
          <cell r="D30" t="str">
            <v>4e</v>
          </cell>
          <cell r="E30" t="str">
            <v>Utama</v>
          </cell>
          <cell r="F30" t="str">
            <v>Melaksanakan pembinaan guru dan/atau kepala madrasah</v>
          </cell>
          <cell r="G30">
            <v>8</v>
          </cell>
          <cell r="H30" t="str">
            <v>Setiap Laporan</v>
          </cell>
        </row>
        <row r="31">
          <cell r="C31">
            <v>1</v>
          </cell>
          <cell r="D31" t="str">
            <v>2a</v>
          </cell>
        </row>
        <row r="32">
          <cell r="C32">
            <v>2</v>
          </cell>
          <cell r="D32" t="str">
            <v>2b</v>
          </cell>
        </row>
        <row r="33">
          <cell r="C33">
            <v>3</v>
          </cell>
          <cell r="D33" t="str">
            <v>2c</v>
          </cell>
        </row>
        <row r="34">
          <cell r="C34">
            <v>4</v>
          </cell>
          <cell r="D34" t="str">
            <v>2d</v>
          </cell>
        </row>
        <row r="35">
          <cell r="C35">
            <v>5</v>
          </cell>
          <cell r="D35" t="str">
            <v>3a</v>
          </cell>
        </row>
        <row r="36">
          <cell r="C36">
            <v>6</v>
          </cell>
          <cell r="D36" t="str">
            <v>3b</v>
          </cell>
        </row>
        <row r="37">
          <cell r="C37">
            <v>7</v>
          </cell>
          <cell r="D37" t="str">
            <v>3c</v>
          </cell>
          <cell r="E37" t="str">
            <v>Muda</v>
          </cell>
          <cell r="F37" t="str">
            <v>Memantau pelaksanaan 8 Standar Nasional Pendidikan</v>
          </cell>
          <cell r="G37">
            <v>6</v>
          </cell>
          <cell r="H37" t="str">
            <v>Setiap Laporan</v>
          </cell>
        </row>
        <row r="38">
          <cell r="C38">
            <v>8</v>
          </cell>
          <cell r="D38" t="str">
            <v>3d</v>
          </cell>
          <cell r="E38" t="str">
            <v>Muda</v>
          </cell>
          <cell r="F38" t="str">
            <v>Memantau pelaksanaan 8 Standar Nasional Pendidikan</v>
          </cell>
          <cell r="G38">
            <v>6</v>
          </cell>
          <cell r="H38" t="str">
            <v>Setiap Laporan</v>
          </cell>
        </row>
        <row r="39">
          <cell r="C39">
            <v>9</v>
          </cell>
          <cell r="D39" t="str">
            <v>4a</v>
          </cell>
          <cell r="E39" t="str">
            <v>Madya</v>
          </cell>
          <cell r="F39" t="str">
            <v>Memantau pelaksanaan 8 Standar Nasional Pendidikan</v>
          </cell>
          <cell r="G39">
            <v>9</v>
          </cell>
          <cell r="H39" t="str">
            <v>Setiap Laporan</v>
          </cell>
        </row>
        <row r="40">
          <cell r="C40">
            <v>10</v>
          </cell>
          <cell r="D40" t="str">
            <v>4b</v>
          </cell>
          <cell r="E40" t="str">
            <v>Madya</v>
          </cell>
          <cell r="F40" t="str">
            <v>Memantau pelaksanaan 8 Standar Nasional Pendidikan</v>
          </cell>
          <cell r="G40">
            <v>9</v>
          </cell>
          <cell r="H40" t="str">
            <v>Setiap Laporan</v>
          </cell>
        </row>
        <row r="41">
          <cell r="C41">
            <v>11</v>
          </cell>
          <cell r="D41" t="str">
            <v>4c</v>
          </cell>
          <cell r="E41" t="str">
            <v>Madya</v>
          </cell>
          <cell r="F41" t="str">
            <v>Memantau pelaksanaan 8 Standar Nasional Pendidikan</v>
          </cell>
          <cell r="G41">
            <v>9</v>
          </cell>
          <cell r="H41" t="str">
            <v>Setiap Laporan</v>
          </cell>
        </row>
        <row r="42">
          <cell r="C42">
            <v>12</v>
          </cell>
          <cell r="D42" t="str">
            <v>4d</v>
          </cell>
          <cell r="E42" t="str">
            <v>Utama</v>
          </cell>
          <cell r="F42" t="str">
            <v>Memantau pelaksanaan 8 Standar Nasional Pendidikan</v>
          </cell>
          <cell r="G42">
            <v>12</v>
          </cell>
          <cell r="H42" t="str">
            <v>Setiap Laporan</v>
          </cell>
        </row>
        <row r="43">
          <cell r="C43">
            <v>13</v>
          </cell>
          <cell r="D43" t="str">
            <v>4e</v>
          </cell>
          <cell r="E43" t="str">
            <v>Utama</v>
          </cell>
          <cell r="F43" t="str">
            <v>Memantau pelaksanaan 8 Standar Nasional Pendidikan</v>
          </cell>
          <cell r="G43">
            <v>12</v>
          </cell>
          <cell r="H43" t="str">
            <v>Setiap Laporan</v>
          </cell>
        </row>
        <row r="44">
          <cell r="C44">
            <v>1</v>
          </cell>
          <cell r="D44" t="str">
            <v>2a</v>
          </cell>
        </row>
        <row r="45">
          <cell r="C45">
            <v>2</v>
          </cell>
          <cell r="D45" t="str">
            <v>2b</v>
          </cell>
        </row>
        <row r="46">
          <cell r="C46">
            <v>3</v>
          </cell>
          <cell r="D46" t="str">
            <v>2c</v>
          </cell>
        </row>
        <row r="47">
          <cell r="C47">
            <v>4</v>
          </cell>
          <cell r="D47" t="str">
            <v>2d</v>
          </cell>
        </row>
        <row r="48">
          <cell r="C48">
            <v>5</v>
          </cell>
          <cell r="D48" t="str">
            <v>3a</v>
          </cell>
        </row>
        <row r="49">
          <cell r="C49">
            <v>6</v>
          </cell>
          <cell r="D49" t="str">
            <v>3b</v>
          </cell>
        </row>
        <row r="50">
          <cell r="C50">
            <v>7</v>
          </cell>
          <cell r="D50" t="str">
            <v>3c</v>
          </cell>
          <cell r="E50" t="str">
            <v>Muda</v>
          </cell>
          <cell r="F50" t="str">
            <v>Melaksanakan penilaian kinerja guru dan/atau kepala madrasah</v>
          </cell>
          <cell r="G50">
            <v>4</v>
          </cell>
          <cell r="H50" t="str">
            <v>Setiap Laporan</v>
          </cell>
        </row>
        <row r="51">
          <cell r="C51">
            <v>8</v>
          </cell>
          <cell r="D51" t="str">
            <v>3d</v>
          </cell>
          <cell r="E51" t="str">
            <v>Muda</v>
          </cell>
          <cell r="F51" t="str">
            <v>Melaksanakan penilaian kinerja guru dan/atau kepala madrasah</v>
          </cell>
          <cell r="G51">
            <v>4</v>
          </cell>
          <cell r="H51" t="str">
            <v>Setiap Laporan</v>
          </cell>
        </row>
        <row r="52">
          <cell r="C52">
            <v>9</v>
          </cell>
          <cell r="D52" t="str">
            <v>4a</v>
          </cell>
          <cell r="E52" t="str">
            <v>Madya</v>
          </cell>
          <cell r="F52" t="str">
            <v>Melaksanakan penilaian kinerja guru dan/atau kepala madrasah</v>
          </cell>
          <cell r="G52">
            <v>6</v>
          </cell>
          <cell r="H52" t="str">
            <v>Setiap Laporan</v>
          </cell>
        </row>
        <row r="53">
          <cell r="C53">
            <v>10</v>
          </cell>
          <cell r="D53" t="str">
            <v>4b</v>
          </cell>
          <cell r="E53" t="str">
            <v>Madya</v>
          </cell>
          <cell r="F53" t="str">
            <v>Melaksanakan penilaian kinerja guru dan/atau kepala madrasah</v>
          </cell>
          <cell r="G53">
            <v>6</v>
          </cell>
          <cell r="H53" t="str">
            <v>Setiap Laporan</v>
          </cell>
        </row>
        <row r="54">
          <cell r="C54">
            <v>11</v>
          </cell>
          <cell r="D54" t="str">
            <v>4c</v>
          </cell>
          <cell r="E54" t="str">
            <v>Madya</v>
          </cell>
          <cell r="F54" t="str">
            <v>Melaksanakan penilaian kinerja guru dan/atau kepala madrasah</v>
          </cell>
          <cell r="G54">
            <v>6</v>
          </cell>
          <cell r="H54" t="str">
            <v>Setiap Laporan</v>
          </cell>
        </row>
        <row r="55">
          <cell r="C55">
            <v>12</v>
          </cell>
          <cell r="D55" t="str">
            <v>4d</v>
          </cell>
          <cell r="E55" t="str">
            <v>Utama</v>
          </cell>
          <cell r="F55" t="str">
            <v>Melaksanakan penilaian kinerja guru dan/atau kepala madrasah</v>
          </cell>
          <cell r="G55">
            <v>8</v>
          </cell>
          <cell r="H55" t="str">
            <v>Setiap Laporan</v>
          </cell>
        </row>
        <row r="56">
          <cell r="C56">
            <v>13</v>
          </cell>
          <cell r="D56" t="str">
            <v>4e</v>
          </cell>
          <cell r="E56" t="str">
            <v>Utama</v>
          </cell>
          <cell r="F56" t="str">
            <v>Melaksanakan penilaian kinerja guru dan/atau kepala madrasah</v>
          </cell>
          <cell r="G56">
            <v>8</v>
          </cell>
          <cell r="H56" t="str">
            <v>Setiap Laporan</v>
          </cell>
        </row>
        <row r="57">
          <cell r="C57">
            <v>1</v>
          </cell>
          <cell r="D57" t="str">
            <v>2a</v>
          </cell>
        </row>
        <row r="58">
          <cell r="C58">
            <v>2</v>
          </cell>
          <cell r="D58" t="str">
            <v>2b</v>
          </cell>
        </row>
        <row r="59">
          <cell r="C59">
            <v>3</v>
          </cell>
          <cell r="D59" t="str">
            <v>2c</v>
          </cell>
        </row>
        <row r="60">
          <cell r="C60">
            <v>4</v>
          </cell>
          <cell r="D60" t="str">
            <v>2d</v>
          </cell>
        </row>
        <row r="61">
          <cell r="C61">
            <v>5</v>
          </cell>
          <cell r="D61" t="str">
            <v>3a</v>
          </cell>
        </row>
        <row r="62">
          <cell r="C62">
            <v>6</v>
          </cell>
          <cell r="D62" t="str">
            <v>3b</v>
          </cell>
        </row>
        <row r="63">
          <cell r="C63">
            <v>7</v>
          </cell>
          <cell r="D63" t="str">
            <v>3c</v>
          </cell>
          <cell r="E63" t="str">
            <v>Muda</v>
          </cell>
          <cell r="F63" t="str">
            <v>Melaksanakan evaluasi hasil pelaksanaan program pengawasan pada madrasah binaan</v>
          </cell>
          <cell r="G63">
            <v>3</v>
          </cell>
          <cell r="H63" t="str">
            <v>Setiap Laporan</v>
          </cell>
        </row>
        <row r="64">
          <cell r="C64">
            <v>8</v>
          </cell>
          <cell r="D64" t="str">
            <v>3d</v>
          </cell>
          <cell r="E64" t="str">
            <v>Muda</v>
          </cell>
          <cell r="F64" t="str">
            <v>Melaksanakan evaluasi hasil pelaksanaan program pengawasan pada madrasah binaan</v>
          </cell>
          <cell r="G64">
            <v>3</v>
          </cell>
          <cell r="H64" t="str">
            <v>Setiap Laporan</v>
          </cell>
        </row>
        <row r="65">
          <cell r="C65">
            <v>9</v>
          </cell>
          <cell r="D65" t="str">
            <v>4a</v>
          </cell>
          <cell r="E65" t="str">
            <v>Madya</v>
          </cell>
          <cell r="F65" t="str">
            <v>Melaksanakan evaluasi hasil pelaksanaan program pengawasan pada madrasah binaan</v>
          </cell>
          <cell r="G65">
            <v>4.5</v>
          </cell>
          <cell r="H65" t="str">
            <v>Setiap Laporan</v>
          </cell>
        </row>
        <row r="66">
          <cell r="C66">
            <v>10</v>
          </cell>
          <cell r="D66" t="str">
            <v>4b</v>
          </cell>
          <cell r="E66" t="str">
            <v>Madya</v>
          </cell>
          <cell r="F66" t="str">
            <v>Melaksanakan evaluasi hasil pelaksanaan program pengawasan pada madrasah binaan</v>
          </cell>
          <cell r="G66">
            <v>4.5</v>
          </cell>
          <cell r="H66" t="str">
            <v>Setiap Laporan</v>
          </cell>
        </row>
        <row r="67">
          <cell r="C67">
            <v>11</v>
          </cell>
          <cell r="D67" t="str">
            <v>4c</v>
          </cell>
          <cell r="E67" t="str">
            <v>Madya</v>
          </cell>
          <cell r="F67" t="str">
            <v>Melaksanakan evaluasi hasil pelaksanaan program pengawasan pada madrasah binaan</v>
          </cell>
          <cell r="G67">
            <v>4.5</v>
          </cell>
          <cell r="H67" t="str">
            <v>Setiap Laporan</v>
          </cell>
        </row>
        <row r="68">
          <cell r="C68">
            <v>12</v>
          </cell>
          <cell r="D68" t="str">
            <v>4d</v>
          </cell>
          <cell r="E68" t="str">
            <v>Utama</v>
          </cell>
          <cell r="F68" t="str">
            <v>Melaksanakan evaluasi hasil pelaksanaan program pengawasan pada madrasah binaan</v>
          </cell>
          <cell r="G68">
            <v>6</v>
          </cell>
          <cell r="H68" t="str">
            <v>Setiap Laporan</v>
          </cell>
        </row>
        <row r="69">
          <cell r="C69">
            <v>13</v>
          </cell>
          <cell r="D69" t="str">
            <v>4e</v>
          </cell>
          <cell r="E69" t="str">
            <v>Utama</v>
          </cell>
          <cell r="F69" t="str">
            <v>Melaksanakan evaluasi hasil pelaksanaan program pengawasan pada madrasah binaan</v>
          </cell>
          <cell r="G69">
            <v>6</v>
          </cell>
          <cell r="H69" t="str">
            <v>Setiap Laporan</v>
          </cell>
        </row>
        <row r="70">
          <cell r="C70">
            <v>1</v>
          </cell>
          <cell r="D70" t="str">
            <v>2a</v>
          </cell>
        </row>
        <row r="71">
          <cell r="C71">
            <v>2</v>
          </cell>
          <cell r="D71" t="str">
            <v>2b</v>
          </cell>
        </row>
        <row r="72">
          <cell r="C72">
            <v>3</v>
          </cell>
          <cell r="D72" t="str">
            <v>2c</v>
          </cell>
        </row>
        <row r="73">
          <cell r="C73">
            <v>4</v>
          </cell>
          <cell r="D73" t="str">
            <v>2d</v>
          </cell>
        </row>
        <row r="74">
          <cell r="C74">
            <v>5</v>
          </cell>
          <cell r="D74" t="str">
            <v>3a</v>
          </cell>
        </row>
        <row r="75">
          <cell r="C75">
            <v>6</v>
          </cell>
          <cell r="D75" t="str">
            <v>3b</v>
          </cell>
        </row>
        <row r="76">
          <cell r="C76">
            <v>7</v>
          </cell>
          <cell r="D76" t="str">
            <v>3c</v>
          </cell>
          <cell r="E76" t="str">
            <v>Muda</v>
          </cell>
          <cell r="F76" t="str">
            <v>Menyusun program pembimbingan dan pelatihan professional guru dan/atau kepala madrasah di KKM/KKG/MGMP dan sejenisnya</v>
          </cell>
          <cell r="G76">
            <v>0.3</v>
          </cell>
          <cell r="H76" t="str">
            <v>Setiap Laporan</v>
          </cell>
        </row>
        <row r="77">
          <cell r="C77">
            <v>8</v>
          </cell>
          <cell r="D77" t="str">
            <v>3d</v>
          </cell>
          <cell r="E77" t="str">
            <v>Muda</v>
          </cell>
          <cell r="F77" t="str">
            <v>Menyusun program pembimbingan dan pelatihan professional guru dan/atau kepala madrasah di KKM/KKG/MGMP dan sejenisnya</v>
          </cell>
          <cell r="G77">
            <v>0.3</v>
          </cell>
          <cell r="H77" t="str">
            <v>Setiap Laporan</v>
          </cell>
        </row>
        <row r="78">
          <cell r="C78">
            <v>9</v>
          </cell>
          <cell r="D78" t="str">
            <v>4a</v>
          </cell>
          <cell r="E78" t="str">
            <v>Madya</v>
          </cell>
          <cell r="F78" t="str">
            <v>Menyusun program pembimbingan dan pelatihan professional guru dan/atau kepala madrasah di KKM/KKG/MGMP dan sejenisnya</v>
          </cell>
          <cell r="G78">
            <v>0.45</v>
          </cell>
          <cell r="H78" t="str">
            <v>Setiap Laporan</v>
          </cell>
        </row>
        <row r="79">
          <cell r="C79">
            <v>10</v>
          </cell>
          <cell r="D79" t="str">
            <v>4b</v>
          </cell>
          <cell r="E79" t="str">
            <v>Madya</v>
          </cell>
          <cell r="F79" t="str">
            <v>Menyusun program pembimbingan dan pelatihan professional guru dan/atau kepala madrasah di KKM/KKG/MGMP dan sejenisnya</v>
          </cell>
          <cell r="G79">
            <v>0.45</v>
          </cell>
          <cell r="H79" t="str">
            <v>Setiap Laporan</v>
          </cell>
        </row>
        <row r="80">
          <cell r="C80">
            <v>11</v>
          </cell>
          <cell r="D80" t="str">
            <v>4c</v>
          </cell>
          <cell r="E80" t="str">
            <v>Madya</v>
          </cell>
          <cell r="F80" t="str">
            <v>Menyusun program pembimbingan dan pelatihan professional guru dan/atau kepala madrasah di KKM/KKG/MGMP dan sejenisnya</v>
          </cell>
          <cell r="G80">
            <v>0.45</v>
          </cell>
          <cell r="H80" t="str">
            <v>Setiap Laporan</v>
          </cell>
        </row>
        <row r="81">
          <cell r="C81">
            <v>12</v>
          </cell>
          <cell r="D81" t="str">
            <v>4d</v>
          </cell>
          <cell r="E81" t="str">
            <v>Utama</v>
          </cell>
          <cell r="F81" t="str">
            <v>Menyusun program pembimbingan dan pelatihan professional guru dan/atau kepala madrasah di KKM/KKG/MGMP dan sejenisnya</v>
          </cell>
          <cell r="G81">
            <v>0.6</v>
          </cell>
          <cell r="H81" t="str">
            <v>Setiap Laporan</v>
          </cell>
        </row>
        <row r="82">
          <cell r="C82">
            <v>13</v>
          </cell>
          <cell r="D82" t="str">
            <v>4e</v>
          </cell>
          <cell r="E82" t="str">
            <v>Utama</v>
          </cell>
          <cell r="F82" t="str">
            <v>Menyusun program pembimbingan dan pelatihan professional guru dan/atau kepala madrasah di KKM/KKG/MGMP dan sejenisnya</v>
          </cell>
          <cell r="G82">
            <v>0.6</v>
          </cell>
          <cell r="H82" t="str">
            <v>Setiap Laporan</v>
          </cell>
        </row>
        <row r="83">
          <cell r="C83">
            <v>1</v>
          </cell>
          <cell r="D83" t="str">
            <v>2a</v>
          </cell>
        </row>
        <row r="84">
          <cell r="C84">
            <v>2</v>
          </cell>
          <cell r="D84" t="str">
            <v>2b</v>
          </cell>
        </row>
        <row r="85">
          <cell r="C85">
            <v>3</v>
          </cell>
          <cell r="D85" t="str">
            <v>2c</v>
          </cell>
        </row>
        <row r="86">
          <cell r="C86">
            <v>4</v>
          </cell>
          <cell r="D86" t="str">
            <v>2d</v>
          </cell>
        </row>
        <row r="87">
          <cell r="C87">
            <v>5</v>
          </cell>
          <cell r="D87" t="str">
            <v>3a</v>
          </cell>
        </row>
        <row r="88">
          <cell r="C88">
            <v>6</v>
          </cell>
          <cell r="D88" t="str">
            <v>3b</v>
          </cell>
        </row>
        <row r="89">
          <cell r="C89">
            <v>7</v>
          </cell>
          <cell r="D89" t="str">
            <v>3c</v>
          </cell>
          <cell r="E89" t="str">
            <v>Muda</v>
          </cell>
          <cell r="F89" t="str">
            <v>Melaksanakan pembimbingan dan pelatihan professional guru dan/atau kepala madrasah</v>
          </cell>
          <cell r="G89">
            <v>6</v>
          </cell>
          <cell r="H89" t="str">
            <v>Setiap Laporan</v>
          </cell>
        </row>
        <row r="90">
          <cell r="C90">
            <v>8</v>
          </cell>
          <cell r="D90" t="str">
            <v>3d</v>
          </cell>
          <cell r="E90" t="str">
            <v>Muda</v>
          </cell>
          <cell r="F90" t="str">
            <v>Melaksanakan pembimbingan dan pelatihan professional guru dan/atau kepala madrasah</v>
          </cell>
          <cell r="G90">
            <v>6</v>
          </cell>
          <cell r="H90" t="str">
            <v>Setiap Laporan</v>
          </cell>
        </row>
        <row r="91">
          <cell r="C91">
            <v>9</v>
          </cell>
          <cell r="D91" t="str">
            <v>4a</v>
          </cell>
          <cell r="E91" t="str">
            <v>Madya</v>
          </cell>
          <cell r="F91" t="str">
            <v>Melaksanakan pembimbingan dan pelatihan professional guru dan/atau kepala madrasah</v>
          </cell>
          <cell r="G91">
            <v>9</v>
          </cell>
          <cell r="H91" t="str">
            <v>Setiap Laporan</v>
          </cell>
        </row>
        <row r="92">
          <cell r="C92">
            <v>10</v>
          </cell>
          <cell r="D92" t="str">
            <v>4b</v>
          </cell>
          <cell r="E92" t="str">
            <v>Madya</v>
          </cell>
          <cell r="F92" t="str">
            <v>Melaksanakan pembimbingan dan pelatihan professional guru dan/atau kepala madrasah</v>
          </cell>
          <cell r="G92">
            <v>9</v>
          </cell>
          <cell r="H92" t="str">
            <v>Setiap Laporan</v>
          </cell>
        </row>
        <row r="93">
          <cell r="C93">
            <v>11</v>
          </cell>
          <cell r="D93" t="str">
            <v>4c</v>
          </cell>
          <cell r="E93" t="str">
            <v>Madya</v>
          </cell>
          <cell r="F93" t="str">
            <v>Melaksanakan pembimbingan dan pelatihan professional guru dan/atau kepala madrasah</v>
          </cell>
          <cell r="G93">
            <v>9</v>
          </cell>
          <cell r="H93" t="str">
            <v>Setiap Laporan</v>
          </cell>
        </row>
        <row r="94">
          <cell r="C94">
            <v>12</v>
          </cell>
          <cell r="D94" t="str">
            <v>4d</v>
          </cell>
          <cell r="E94" t="str">
            <v>Utama</v>
          </cell>
          <cell r="F94" t="str">
            <v>Melaksanakan pembimbingan dan pelatihan professional guru dan/atau kepala madrasah</v>
          </cell>
          <cell r="G94">
            <v>9</v>
          </cell>
          <cell r="H94" t="str">
            <v>Setiap Laporan</v>
          </cell>
        </row>
        <row r="95">
          <cell r="C95">
            <v>13</v>
          </cell>
          <cell r="D95" t="str">
            <v>4e</v>
          </cell>
          <cell r="E95" t="str">
            <v>Utama</v>
          </cell>
          <cell r="F95" t="str">
            <v>Melaksanakan pembimbingan dan pelatihan professional guru dan/atau kepala madrasah</v>
          </cell>
          <cell r="G95">
            <v>9</v>
          </cell>
          <cell r="H95" t="str">
            <v>Setiap Laporan</v>
          </cell>
        </row>
        <row r="96">
          <cell r="C96">
            <v>1</v>
          </cell>
          <cell r="D96" t="str">
            <v>2a</v>
          </cell>
        </row>
        <row r="97">
          <cell r="C97">
            <v>2</v>
          </cell>
          <cell r="D97" t="str">
            <v>2b</v>
          </cell>
        </row>
        <row r="98">
          <cell r="C98">
            <v>3</v>
          </cell>
          <cell r="D98" t="str">
            <v>2c</v>
          </cell>
        </row>
        <row r="99">
          <cell r="C99">
            <v>4</v>
          </cell>
          <cell r="D99" t="str">
            <v>2d</v>
          </cell>
        </row>
        <row r="100">
          <cell r="C100">
            <v>5</v>
          </cell>
          <cell r="D100" t="str">
            <v>3a</v>
          </cell>
        </row>
        <row r="101">
          <cell r="C101">
            <v>6</v>
          </cell>
          <cell r="D101" t="str">
            <v>3b</v>
          </cell>
        </row>
        <row r="102">
          <cell r="C102">
            <v>7</v>
          </cell>
          <cell r="D102" t="str">
            <v>3c</v>
          </cell>
          <cell r="E102" t="str">
            <v>Muda</v>
          </cell>
          <cell r="F102" t="str">
            <v>Mengevaluasi hasil pembimbingan dan pelatihan professional guru dan/ atau kepala madrasah</v>
          </cell>
          <cell r="G102">
            <v>0.6</v>
          </cell>
          <cell r="H102" t="str">
            <v>Setiap Laporan</v>
          </cell>
        </row>
        <row r="103">
          <cell r="C103">
            <v>8</v>
          </cell>
          <cell r="D103" t="str">
            <v>3d</v>
          </cell>
          <cell r="E103" t="str">
            <v>Muda</v>
          </cell>
          <cell r="F103" t="str">
            <v>Mengevaluasi hasil pembimbingan dan pelatihan professional guru dan/ atau kepala madrasah</v>
          </cell>
          <cell r="G103">
            <v>0.6</v>
          </cell>
          <cell r="H103" t="str">
            <v>Setiap Laporan</v>
          </cell>
        </row>
        <row r="104">
          <cell r="C104">
            <v>9</v>
          </cell>
          <cell r="D104" t="str">
            <v>4a</v>
          </cell>
          <cell r="E104" t="str">
            <v>Madya</v>
          </cell>
          <cell r="F104" t="str">
            <v>Mengevaluasi hasil pembimbingan dan pelatihan professional guru dan/ atau kepala madrasah</v>
          </cell>
          <cell r="G104">
            <v>0.9</v>
          </cell>
          <cell r="H104" t="str">
            <v>Setiap Laporan</v>
          </cell>
        </row>
        <row r="105">
          <cell r="C105">
            <v>10</v>
          </cell>
          <cell r="D105" t="str">
            <v>4b</v>
          </cell>
          <cell r="E105" t="str">
            <v>Madya</v>
          </cell>
          <cell r="F105" t="str">
            <v>Mengevaluasi hasil pembimbingan dan pelatihan professional guru dan/ atau kepala madrasah</v>
          </cell>
          <cell r="G105">
            <v>0.9</v>
          </cell>
          <cell r="H105" t="str">
            <v>Setiap Laporan</v>
          </cell>
        </row>
        <row r="106">
          <cell r="C106">
            <v>11</v>
          </cell>
          <cell r="D106" t="str">
            <v>4c</v>
          </cell>
          <cell r="E106" t="str">
            <v>Madya</v>
          </cell>
          <cell r="F106" t="str">
            <v>Mengevaluasi hasil pembimbingan dan pelatihan professional guru dan/ atau kepala madrasah</v>
          </cell>
          <cell r="G106">
            <v>0.9</v>
          </cell>
          <cell r="H106" t="str">
            <v>Setiap Laporan</v>
          </cell>
        </row>
        <row r="107">
          <cell r="C107">
            <v>12</v>
          </cell>
          <cell r="D107" t="str">
            <v>4d</v>
          </cell>
          <cell r="E107" t="str">
            <v>Utama</v>
          </cell>
          <cell r="F107" t="str">
            <v>Mengevaluasi hasil pembimbingan dan pelatihan professional guru dan/ atau kepala madrasah</v>
          </cell>
          <cell r="G107">
            <v>1.2</v>
          </cell>
          <cell r="H107" t="str">
            <v>Setiap Laporan</v>
          </cell>
        </row>
        <row r="108">
          <cell r="C108">
            <v>13</v>
          </cell>
          <cell r="D108" t="str">
            <v>4e</v>
          </cell>
          <cell r="E108" t="str">
            <v>Utama</v>
          </cell>
          <cell r="F108" t="str">
            <v>Mengevaluasi hasil pembimbingan dan pelatihan professional guru dan/ atau kepala madrasah</v>
          </cell>
          <cell r="G108">
            <v>1.2</v>
          </cell>
          <cell r="H108" t="str">
            <v>Setiap Laporan</v>
          </cell>
        </row>
        <row r="113">
          <cell r="E113">
            <v>1</v>
          </cell>
          <cell r="F113" t="str">
            <v xml:space="preserve">Keanggotaan dalam organisasi profesi sebagai ketua aktif Pokjawas Kota </v>
          </cell>
          <cell r="G113">
            <v>1</v>
          </cell>
          <cell r="H113" t="str">
            <v>Laporan</v>
          </cell>
        </row>
        <row r="114">
          <cell r="E114">
            <v>2</v>
          </cell>
          <cell r="F114" t="str">
            <v xml:space="preserve">Keanggotaan dalam organisasi profesi sebagai anggota aktif Pokjawas Kota </v>
          </cell>
          <cell r="G114">
            <v>0.75</v>
          </cell>
          <cell r="H114" t="str">
            <v>Laporan</v>
          </cell>
        </row>
        <row r="115">
          <cell r="E115">
            <v>3</v>
          </cell>
          <cell r="F115" t="str">
            <v>c</v>
          </cell>
          <cell r="G115">
            <v>3</v>
          </cell>
          <cell r="H115" t="str">
            <v>c</v>
          </cell>
        </row>
        <row r="116">
          <cell r="E116">
            <v>4</v>
          </cell>
          <cell r="F116" t="str">
            <v>d</v>
          </cell>
          <cell r="G116">
            <v>4</v>
          </cell>
          <cell r="H116" t="str">
            <v>d</v>
          </cell>
        </row>
        <row r="117">
          <cell r="E117">
            <v>5</v>
          </cell>
          <cell r="F117" t="str">
            <v>e</v>
          </cell>
          <cell r="G117">
            <v>5</v>
          </cell>
          <cell r="H117" t="str">
            <v>e</v>
          </cell>
        </row>
        <row r="118">
          <cell r="E118">
            <v>6</v>
          </cell>
          <cell r="F118" t="str">
            <v>f</v>
          </cell>
          <cell r="G118">
            <v>6</v>
          </cell>
          <cell r="H118" t="str">
            <v>f</v>
          </cell>
        </row>
        <row r="119">
          <cell r="E119">
            <v>7</v>
          </cell>
          <cell r="F119" t="str">
            <v>g</v>
          </cell>
          <cell r="G119">
            <v>7</v>
          </cell>
          <cell r="H119" t="str">
            <v>g</v>
          </cell>
        </row>
        <row r="120">
          <cell r="E120">
            <v>8</v>
          </cell>
          <cell r="F120" t="str">
            <v>h</v>
          </cell>
          <cell r="G120">
            <v>8</v>
          </cell>
          <cell r="H120" t="str">
            <v>h</v>
          </cell>
        </row>
        <row r="121">
          <cell r="E121">
            <v>9</v>
          </cell>
          <cell r="F121" t="str">
            <v>i</v>
          </cell>
          <cell r="G121">
            <v>9</v>
          </cell>
          <cell r="H121" t="str">
            <v>i</v>
          </cell>
        </row>
        <row r="122">
          <cell r="E122">
            <v>10</v>
          </cell>
          <cell r="F122" t="str">
            <v>j</v>
          </cell>
          <cell r="G122">
            <v>10</v>
          </cell>
          <cell r="H122" t="str">
            <v>j</v>
          </cell>
        </row>
        <row r="123">
          <cell r="E123">
            <v>11</v>
          </cell>
          <cell r="F123" t="str">
            <v>k</v>
          </cell>
          <cell r="G123">
            <v>11</v>
          </cell>
          <cell r="H123" t="str">
            <v>k</v>
          </cell>
        </row>
        <row r="124">
          <cell r="E124">
            <v>12</v>
          </cell>
          <cell r="F124" t="str">
            <v>l</v>
          </cell>
          <cell r="G124">
            <v>12</v>
          </cell>
          <cell r="H124" t="str">
            <v>l</v>
          </cell>
        </row>
        <row r="125">
          <cell r="E125">
            <v>13</v>
          </cell>
          <cell r="F125" t="str">
            <v>m</v>
          </cell>
          <cell r="G125">
            <v>13</v>
          </cell>
          <cell r="H125" t="str">
            <v>m</v>
          </cell>
        </row>
        <row r="126">
          <cell r="E126">
            <v>14</v>
          </cell>
          <cell r="F126" t="str">
            <v>n</v>
          </cell>
          <cell r="G126">
            <v>14</v>
          </cell>
          <cell r="H126" t="str">
            <v>n</v>
          </cell>
        </row>
        <row r="127">
          <cell r="E127">
            <v>15</v>
          </cell>
          <cell r="F127" t="str">
            <v>o</v>
          </cell>
          <cell r="G127">
            <v>15</v>
          </cell>
          <cell r="H127" t="str">
            <v>o</v>
          </cell>
        </row>
      </sheetData>
      <sheetData sheetId="6" refreshError="1">
        <row r="7">
          <cell r="B7">
            <v>1</v>
          </cell>
          <cell r="C7" t="str">
            <v>Dr. H. IDRUS ALWI, M.Pd</v>
          </cell>
          <cell r="D7">
            <v>0.9</v>
          </cell>
          <cell r="E7">
            <v>1</v>
          </cell>
          <cell r="F7">
            <v>100</v>
          </cell>
          <cell r="G7">
            <v>1</v>
          </cell>
          <cell r="I7">
            <v>6</v>
          </cell>
          <cell r="J7">
            <v>1</v>
          </cell>
          <cell r="K7">
            <v>100</v>
          </cell>
          <cell r="L7">
            <v>12</v>
          </cell>
          <cell r="N7">
            <v>9</v>
          </cell>
          <cell r="O7">
            <v>1</v>
          </cell>
          <cell r="P7">
            <v>100</v>
          </cell>
          <cell r="Q7">
            <v>12</v>
          </cell>
          <cell r="S7">
            <v>6</v>
          </cell>
          <cell r="T7">
            <v>1</v>
          </cell>
          <cell r="U7">
            <v>100</v>
          </cell>
          <cell r="V7">
            <v>12</v>
          </cell>
          <cell r="X7">
            <v>4.5</v>
          </cell>
          <cell r="Y7">
            <v>1</v>
          </cell>
          <cell r="Z7">
            <v>100</v>
          </cell>
          <cell r="AA7">
            <v>12</v>
          </cell>
          <cell r="AC7">
            <v>0.45</v>
          </cell>
          <cell r="AD7">
            <v>1</v>
          </cell>
          <cell r="AE7">
            <v>100</v>
          </cell>
          <cell r="AF7">
            <v>1</v>
          </cell>
          <cell r="AH7">
            <v>9</v>
          </cell>
          <cell r="AI7">
            <v>1</v>
          </cell>
          <cell r="AJ7">
            <v>100</v>
          </cell>
          <cell r="AK7">
            <v>12</v>
          </cell>
          <cell r="AM7">
            <v>0.9</v>
          </cell>
          <cell r="AN7">
            <v>1</v>
          </cell>
          <cell r="AO7">
            <v>100</v>
          </cell>
          <cell r="AP7">
            <v>1</v>
          </cell>
          <cell r="AR7">
            <v>1</v>
          </cell>
          <cell r="AS7">
            <v>1</v>
          </cell>
          <cell r="AT7">
            <v>100</v>
          </cell>
          <cell r="AU7">
            <v>12</v>
          </cell>
          <cell r="AX7">
            <v>1</v>
          </cell>
          <cell r="AY7">
            <v>0.9</v>
          </cell>
          <cell r="AZ7">
            <v>6</v>
          </cell>
          <cell r="BA7">
            <v>9</v>
          </cell>
          <cell r="BB7">
            <v>6</v>
          </cell>
          <cell r="BC7">
            <v>4.5</v>
          </cell>
          <cell r="BD7">
            <v>0.45</v>
          </cell>
          <cell r="BE7">
            <v>9</v>
          </cell>
          <cell r="BF7">
            <v>0.9</v>
          </cell>
        </row>
        <row r="8">
          <cell r="B8">
            <v>2</v>
          </cell>
          <cell r="C8" t="str">
            <v>Drs. H. SUJANGI</v>
          </cell>
          <cell r="D8">
            <v>0.9</v>
          </cell>
          <cell r="E8">
            <v>1</v>
          </cell>
          <cell r="F8">
            <v>100</v>
          </cell>
          <cell r="G8">
            <v>1</v>
          </cell>
          <cell r="I8">
            <v>6</v>
          </cell>
          <cell r="J8">
            <v>1</v>
          </cell>
          <cell r="K8">
            <v>100</v>
          </cell>
          <cell r="L8">
            <v>12</v>
          </cell>
          <cell r="N8">
            <v>9</v>
          </cell>
          <cell r="O8">
            <v>1</v>
          </cell>
          <cell r="P8">
            <v>100</v>
          </cell>
          <cell r="Q8">
            <v>12</v>
          </cell>
          <cell r="S8">
            <v>6</v>
          </cell>
          <cell r="T8">
            <v>1</v>
          </cell>
          <cell r="U8">
            <v>100</v>
          </cell>
          <cell r="V8">
            <v>12</v>
          </cell>
          <cell r="X8">
            <v>4.5</v>
          </cell>
          <cell r="Y8">
            <v>1</v>
          </cell>
          <cell r="Z8">
            <v>100</v>
          </cell>
          <cell r="AA8">
            <v>12</v>
          </cell>
          <cell r="AC8">
            <v>0.45</v>
          </cell>
          <cell r="AD8">
            <v>1</v>
          </cell>
          <cell r="AE8">
            <v>100</v>
          </cell>
          <cell r="AF8">
            <v>1</v>
          </cell>
          <cell r="AH8">
            <v>9</v>
          </cell>
          <cell r="AI8">
            <v>1</v>
          </cell>
          <cell r="AJ8">
            <v>100</v>
          </cell>
          <cell r="AK8">
            <v>12</v>
          </cell>
          <cell r="AM8">
            <v>0.9</v>
          </cell>
          <cell r="AN8">
            <v>1</v>
          </cell>
          <cell r="AO8">
            <v>100</v>
          </cell>
          <cell r="AP8">
            <v>1</v>
          </cell>
          <cell r="AR8">
            <v>0.75</v>
          </cell>
          <cell r="AS8">
            <v>1</v>
          </cell>
          <cell r="AT8">
            <v>100</v>
          </cell>
          <cell r="AU8">
            <v>12</v>
          </cell>
          <cell r="AX8">
            <v>2</v>
          </cell>
          <cell r="AY8">
            <v>0.9</v>
          </cell>
          <cell r="AZ8">
            <v>6</v>
          </cell>
          <cell r="BA8">
            <v>9</v>
          </cell>
          <cell r="BB8">
            <v>6</v>
          </cell>
          <cell r="BC8">
            <v>4.5</v>
          </cell>
          <cell r="BD8">
            <v>0.45</v>
          </cell>
          <cell r="BE8">
            <v>9</v>
          </cell>
          <cell r="BF8">
            <v>0.9</v>
          </cell>
        </row>
        <row r="9">
          <cell r="B9">
            <v>3</v>
          </cell>
          <cell r="C9" t="str">
            <v>Drs. M. SALEH</v>
          </cell>
          <cell r="D9">
            <v>0.9</v>
          </cell>
          <cell r="E9">
            <v>1</v>
          </cell>
          <cell r="F9">
            <v>100</v>
          </cell>
          <cell r="G9">
            <v>1</v>
          </cell>
          <cell r="I9">
            <v>6</v>
          </cell>
          <cell r="J9">
            <v>1</v>
          </cell>
          <cell r="K9">
            <v>100</v>
          </cell>
          <cell r="L9">
            <v>12</v>
          </cell>
          <cell r="N9">
            <v>9</v>
          </cell>
          <cell r="O9">
            <v>1</v>
          </cell>
          <cell r="P9">
            <v>100</v>
          </cell>
          <cell r="Q9">
            <v>12</v>
          </cell>
          <cell r="S9">
            <v>6</v>
          </cell>
          <cell r="T9">
            <v>1</v>
          </cell>
          <cell r="U9">
            <v>100</v>
          </cell>
          <cell r="V9">
            <v>12</v>
          </cell>
          <cell r="X9">
            <v>4.5</v>
          </cell>
          <cell r="Y9">
            <v>1</v>
          </cell>
          <cell r="Z9">
            <v>100</v>
          </cell>
          <cell r="AA9">
            <v>12</v>
          </cell>
          <cell r="AC9">
            <v>0.45</v>
          </cell>
          <cell r="AD9">
            <v>1</v>
          </cell>
          <cell r="AE9">
            <v>100</v>
          </cell>
          <cell r="AF9">
            <v>1</v>
          </cell>
          <cell r="AH9">
            <v>9</v>
          </cell>
          <cell r="AI9">
            <v>1</v>
          </cell>
          <cell r="AJ9">
            <v>100</v>
          </cell>
          <cell r="AK9">
            <v>12</v>
          </cell>
          <cell r="AM9">
            <v>0.9</v>
          </cell>
          <cell r="AN9">
            <v>1</v>
          </cell>
          <cell r="AO9">
            <v>100</v>
          </cell>
          <cell r="AP9">
            <v>1</v>
          </cell>
          <cell r="AR9">
            <v>0.75</v>
          </cell>
          <cell r="AS9">
            <v>1</v>
          </cell>
          <cell r="AT9">
            <v>100</v>
          </cell>
          <cell r="AU9">
            <v>12</v>
          </cell>
          <cell r="AX9">
            <v>3</v>
          </cell>
          <cell r="AY9">
            <v>0.9</v>
          </cell>
          <cell r="AZ9">
            <v>6</v>
          </cell>
          <cell r="BA9">
            <v>9</v>
          </cell>
          <cell r="BB9">
            <v>6</v>
          </cell>
          <cell r="BC9">
            <v>4.5</v>
          </cell>
          <cell r="BD9">
            <v>0.45</v>
          </cell>
          <cell r="BE9">
            <v>9</v>
          </cell>
          <cell r="BF9">
            <v>0.9</v>
          </cell>
        </row>
        <row r="10">
          <cell r="B10">
            <v>4</v>
          </cell>
          <cell r="C10" t="str">
            <v>SITI NURBAITI, S.Ag, M.Pd.I</v>
          </cell>
          <cell r="D10">
            <v>0.9</v>
          </cell>
          <cell r="E10">
            <v>1</v>
          </cell>
          <cell r="F10">
            <v>100</v>
          </cell>
          <cell r="G10">
            <v>1</v>
          </cell>
          <cell r="I10">
            <v>6</v>
          </cell>
          <cell r="J10">
            <v>1</v>
          </cell>
          <cell r="K10">
            <v>100</v>
          </cell>
          <cell r="L10">
            <v>12</v>
          </cell>
          <cell r="N10">
            <v>9</v>
          </cell>
          <cell r="O10">
            <v>1</v>
          </cell>
          <cell r="P10">
            <v>100</v>
          </cell>
          <cell r="Q10">
            <v>12</v>
          </cell>
          <cell r="S10">
            <v>6</v>
          </cell>
          <cell r="T10">
            <v>1</v>
          </cell>
          <cell r="U10">
            <v>100</v>
          </cell>
          <cell r="V10">
            <v>12</v>
          </cell>
          <cell r="X10">
            <v>4.5</v>
          </cell>
          <cell r="Y10">
            <v>1</v>
          </cell>
          <cell r="Z10">
            <v>100</v>
          </cell>
          <cell r="AA10">
            <v>12</v>
          </cell>
          <cell r="AC10">
            <v>0.45</v>
          </cell>
          <cell r="AD10">
            <v>1</v>
          </cell>
          <cell r="AE10">
            <v>100</v>
          </cell>
          <cell r="AF10">
            <v>1</v>
          </cell>
          <cell r="AH10">
            <v>9</v>
          </cell>
          <cell r="AI10">
            <v>1</v>
          </cell>
          <cell r="AJ10">
            <v>100</v>
          </cell>
          <cell r="AK10">
            <v>12</v>
          </cell>
          <cell r="AM10">
            <v>0.9</v>
          </cell>
          <cell r="AN10">
            <v>1</v>
          </cell>
          <cell r="AO10">
            <v>100</v>
          </cell>
          <cell r="AP10">
            <v>1</v>
          </cell>
          <cell r="AR10">
            <v>0.75</v>
          </cell>
          <cell r="AS10">
            <v>1</v>
          </cell>
          <cell r="AT10">
            <v>100</v>
          </cell>
          <cell r="AU10">
            <v>12</v>
          </cell>
          <cell r="AX10">
            <v>4</v>
          </cell>
          <cell r="AY10">
            <v>0.9</v>
          </cell>
          <cell r="AZ10">
            <v>6</v>
          </cell>
          <cell r="BA10">
            <v>9</v>
          </cell>
          <cell r="BB10">
            <v>6</v>
          </cell>
          <cell r="BC10">
            <v>4.5</v>
          </cell>
          <cell r="BD10">
            <v>0.45</v>
          </cell>
          <cell r="BE10">
            <v>9</v>
          </cell>
          <cell r="BF10">
            <v>0.9</v>
          </cell>
        </row>
        <row r="11">
          <cell r="B11">
            <v>5</v>
          </cell>
          <cell r="C11" t="str">
            <v>Drs. A. AMIN MUSTOFA, M.Pd</v>
          </cell>
          <cell r="D11">
            <v>0.9</v>
          </cell>
          <cell r="E11">
            <v>1</v>
          </cell>
          <cell r="F11">
            <v>100</v>
          </cell>
          <cell r="G11">
            <v>1</v>
          </cell>
          <cell r="I11">
            <v>6</v>
          </cell>
          <cell r="J11">
            <v>1</v>
          </cell>
          <cell r="K11">
            <v>100</v>
          </cell>
          <cell r="L11">
            <v>12</v>
          </cell>
          <cell r="N11">
            <v>9</v>
          </cell>
          <cell r="O11">
            <v>1</v>
          </cell>
          <cell r="P11">
            <v>100</v>
          </cell>
          <cell r="Q11">
            <v>12</v>
          </cell>
          <cell r="S11">
            <v>6</v>
          </cell>
          <cell r="T11">
            <v>1</v>
          </cell>
          <cell r="U11">
            <v>100</v>
          </cell>
          <cell r="V11">
            <v>12</v>
          </cell>
          <cell r="X11">
            <v>4.5</v>
          </cell>
          <cell r="Y11">
            <v>1</v>
          </cell>
          <cell r="Z11">
            <v>100</v>
          </cell>
          <cell r="AA11">
            <v>12</v>
          </cell>
          <cell r="AC11">
            <v>0.45</v>
          </cell>
          <cell r="AD11">
            <v>1</v>
          </cell>
          <cell r="AE11">
            <v>100</v>
          </cell>
          <cell r="AF11">
            <v>1</v>
          </cell>
          <cell r="AH11">
            <v>9</v>
          </cell>
          <cell r="AI11">
            <v>1</v>
          </cell>
          <cell r="AJ11">
            <v>100</v>
          </cell>
          <cell r="AK11">
            <v>12</v>
          </cell>
          <cell r="AM11">
            <v>0.9</v>
          </cell>
          <cell r="AN11">
            <v>1</v>
          </cell>
          <cell r="AO11">
            <v>100</v>
          </cell>
          <cell r="AP11">
            <v>1</v>
          </cell>
          <cell r="AR11">
            <v>0.75</v>
          </cell>
          <cell r="AS11">
            <v>1</v>
          </cell>
          <cell r="AT11">
            <v>100</v>
          </cell>
          <cell r="AU11">
            <v>12</v>
          </cell>
          <cell r="AX11">
            <v>5</v>
          </cell>
          <cell r="AY11">
            <v>0.9</v>
          </cell>
          <cell r="AZ11">
            <v>6</v>
          </cell>
          <cell r="BA11">
            <v>9</v>
          </cell>
          <cell r="BB11">
            <v>6</v>
          </cell>
          <cell r="BC11">
            <v>4.5</v>
          </cell>
          <cell r="BD11">
            <v>0.45</v>
          </cell>
          <cell r="BE11">
            <v>9</v>
          </cell>
          <cell r="BF11">
            <v>0.9</v>
          </cell>
        </row>
        <row r="12">
          <cell r="B12">
            <v>6</v>
          </cell>
          <cell r="C12" t="str">
            <v>Drs. AKHMAD SUGANDA, M.Pd</v>
          </cell>
          <cell r="D12">
            <v>0.9</v>
          </cell>
          <cell r="E12">
            <v>1</v>
          </cell>
          <cell r="F12">
            <v>100</v>
          </cell>
          <cell r="G12">
            <v>1</v>
          </cell>
          <cell r="I12">
            <v>6</v>
          </cell>
          <cell r="J12">
            <v>1</v>
          </cell>
          <cell r="K12">
            <v>100</v>
          </cell>
          <cell r="L12">
            <v>12</v>
          </cell>
          <cell r="N12">
            <v>9</v>
          </cell>
          <cell r="O12">
            <v>1</v>
          </cell>
          <cell r="P12">
            <v>100</v>
          </cell>
          <cell r="Q12">
            <v>12</v>
          </cell>
          <cell r="S12">
            <v>6</v>
          </cell>
          <cell r="T12">
            <v>1</v>
          </cell>
          <cell r="U12">
            <v>100</v>
          </cell>
          <cell r="V12">
            <v>12</v>
          </cell>
          <cell r="X12">
            <v>4.5</v>
          </cell>
          <cell r="Y12">
            <v>1</v>
          </cell>
          <cell r="Z12">
            <v>100</v>
          </cell>
          <cell r="AA12">
            <v>12</v>
          </cell>
          <cell r="AC12">
            <v>0.45</v>
          </cell>
          <cell r="AD12">
            <v>1</v>
          </cell>
          <cell r="AE12">
            <v>100</v>
          </cell>
          <cell r="AF12">
            <v>1</v>
          </cell>
          <cell r="AH12">
            <v>9</v>
          </cell>
          <cell r="AI12">
            <v>1</v>
          </cell>
          <cell r="AJ12">
            <v>100</v>
          </cell>
          <cell r="AK12">
            <v>12</v>
          </cell>
          <cell r="AM12">
            <v>0.9</v>
          </cell>
          <cell r="AN12">
            <v>1</v>
          </cell>
          <cell r="AO12">
            <v>100</v>
          </cell>
          <cell r="AP12">
            <v>1</v>
          </cell>
          <cell r="AR12">
            <v>0.75</v>
          </cell>
          <cell r="AS12">
            <v>1</v>
          </cell>
          <cell r="AT12">
            <v>100</v>
          </cell>
          <cell r="AU12">
            <v>12</v>
          </cell>
          <cell r="AX12">
            <v>6</v>
          </cell>
          <cell r="AY12">
            <v>0.9</v>
          </cell>
          <cell r="AZ12">
            <v>6</v>
          </cell>
          <cell r="BA12">
            <v>9</v>
          </cell>
          <cell r="BB12">
            <v>6</v>
          </cell>
          <cell r="BC12">
            <v>4.5</v>
          </cell>
          <cell r="BD12">
            <v>0.45</v>
          </cell>
          <cell r="BE12">
            <v>9</v>
          </cell>
          <cell r="BF12">
            <v>0.9</v>
          </cell>
        </row>
        <row r="13">
          <cell r="B13">
            <v>7</v>
          </cell>
          <cell r="C13" t="str">
            <v>Dr. Hj. KUN SRI WARDHANI, M.Pd</v>
          </cell>
          <cell r="D13">
            <v>0.6</v>
          </cell>
          <cell r="E13">
            <v>1</v>
          </cell>
          <cell r="F13">
            <v>100</v>
          </cell>
          <cell r="G13">
            <v>1</v>
          </cell>
          <cell r="I13">
            <v>5.6</v>
          </cell>
          <cell r="J13">
            <v>1</v>
          </cell>
          <cell r="K13">
            <v>100</v>
          </cell>
          <cell r="L13">
            <v>12</v>
          </cell>
          <cell r="N13">
            <v>6</v>
          </cell>
          <cell r="O13">
            <v>1</v>
          </cell>
          <cell r="P13">
            <v>100</v>
          </cell>
          <cell r="Q13">
            <v>12</v>
          </cell>
          <cell r="S13">
            <v>4</v>
          </cell>
          <cell r="T13">
            <v>1</v>
          </cell>
          <cell r="U13">
            <v>100</v>
          </cell>
          <cell r="V13">
            <v>12</v>
          </cell>
          <cell r="X13">
            <v>3</v>
          </cell>
          <cell r="Y13">
            <v>1</v>
          </cell>
          <cell r="Z13">
            <v>100</v>
          </cell>
          <cell r="AA13">
            <v>12</v>
          </cell>
          <cell r="AC13">
            <v>0.3</v>
          </cell>
          <cell r="AD13">
            <v>1</v>
          </cell>
          <cell r="AE13">
            <v>100</v>
          </cell>
          <cell r="AF13">
            <v>1</v>
          </cell>
          <cell r="AH13">
            <v>6</v>
          </cell>
          <cell r="AI13">
            <v>1</v>
          </cell>
          <cell r="AJ13">
            <v>100</v>
          </cell>
          <cell r="AK13">
            <v>12</v>
          </cell>
          <cell r="AM13">
            <v>0.6</v>
          </cell>
          <cell r="AN13">
            <v>1</v>
          </cell>
          <cell r="AO13">
            <v>100</v>
          </cell>
          <cell r="AP13">
            <v>1</v>
          </cell>
          <cell r="AR13">
            <v>0.75</v>
          </cell>
          <cell r="AS13">
            <v>1</v>
          </cell>
          <cell r="AT13">
            <v>100</v>
          </cell>
          <cell r="AU13">
            <v>12</v>
          </cell>
          <cell r="AX13">
            <v>7</v>
          </cell>
          <cell r="AY13">
            <v>0.6</v>
          </cell>
          <cell r="AZ13">
            <v>5.6</v>
          </cell>
          <cell r="BA13">
            <v>6</v>
          </cell>
          <cell r="BB13">
            <v>4</v>
          </cell>
          <cell r="BC13">
            <v>3</v>
          </cell>
          <cell r="BD13">
            <v>0.3</v>
          </cell>
          <cell r="BE13">
            <v>6</v>
          </cell>
          <cell r="BF13">
            <v>0.6</v>
          </cell>
        </row>
        <row r="14">
          <cell r="B14">
            <v>8</v>
          </cell>
          <cell r="C14" t="str">
            <v>ABDUL MANAP, M.Pd</v>
          </cell>
          <cell r="D14">
            <v>0.9</v>
          </cell>
          <cell r="E14">
            <v>1</v>
          </cell>
          <cell r="F14">
            <v>100</v>
          </cell>
          <cell r="G14">
            <v>1</v>
          </cell>
          <cell r="I14">
            <v>6</v>
          </cell>
          <cell r="J14">
            <v>1</v>
          </cell>
          <cell r="K14">
            <v>100</v>
          </cell>
          <cell r="L14">
            <v>12</v>
          </cell>
          <cell r="N14">
            <v>9</v>
          </cell>
          <cell r="O14">
            <v>1</v>
          </cell>
          <cell r="P14">
            <v>100</v>
          </cell>
          <cell r="Q14">
            <v>12</v>
          </cell>
          <cell r="S14">
            <v>6</v>
          </cell>
          <cell r="T14">
            <v>1</v>
          </cell>
          <cell r="U14">
            <v>100</v>
          </cell>
          <cell r="V14">
            <v>12</v>
          </cell>
          <cell r="X14">
            <v>4.5</v>
          </cell>
          <cell r="Y14">
            <v>1</v>
          </cell>
          <cell r="Z14">
            <v>100</v>
          </cell>
          <cell r="AA14">
            <v>12</v>
          </cell>
          <cell r="AC14">
            <v>0.45</v>
          </cell>
          <cell r="AD14">
            <v>1</v>
          </cell>
          <cell r="AE14">
            <v>100</v>
          </cell>
          <cell r="AF14">
            <v>1</v>
          </cell>
          <cell r="AH14">
            <v>9</v>
          </cell>
          <cell r="AI14">
            <v>1</v>
          </cell>
          <cell r="AJ14">
            <v>100</v>
          </cell>
          <cell r="AK14">
            <v>12</v>
          </cell>
          <cell r="AM14">
            <v>0.9</v>
          </cell>
          <cell r="AN14">
            <v>1</v>
          </cell>
          <cell r="AO14">
            <v>100</v>
          </cell>
          <cell r="AP14">
            <v>1</v>
          </cell>
          <cell r="AR14">
            <v>0.75</v>
          </cell>
          <cell r="AS14">
            <v>1</v>
          </cell>
          <cell r="AT14">
            <v>100</v>
          </cell>
          <cell r="AU14">
            <v>12</v>
          </cell>
          <cell r="AX14">
            <v>8</v>
          </cell>
          <cell r="AY14">
            <v>0.9</v>
          </cell>
          <cell r="AZ14">
            <v>6</v>
          </cell>
          <cell r="BA14">
            <v>9</v>
          </cell>
          <cell r="BB14">
            <v>6</v>
          </cell>
          <cell r="BC14">
            <v>4.5</v>
          </cell>
          <cell r="BD14">
            <v>0.45</v>
          </cell>
          <cell r="BE14">
            <v>9</v>
          </cell>
          <cell r="BF14">
            <v>0.9</v>
          </cell>
        </row>
        <row r="15">
          <cell r="B15">
            <v>9</v>
          </cell>
          <cell r="C15" t="str">
            <v>ABDUL WAHAB, S.Pd</v>
          </cell>
          <cell r="D15">
            <v>0.6</v>
          </cell>
          <cell r="E15">
            <v>1</v>
          </cell>
          <cell r="F15">
            <v>100</v>
          </cell>
          <cell r="G15">
            <v>1</v>
          </cell>
          <cell r="I15">
            <v>5.6</v>
          </cell>
          <cell r="J15">
            <v>1</v>
          </cell>
          <cell r="K15">
            <v>100</v>
          </cell>
          <cell r="L15">
            <v>12</v>
          </cell>
          <cell r="N15">
            <v>6</v>
          </cell>
          <cell r="O15">
            <v>1</v>
          </cell>
          <cell r="P15">
            <v>100</v>
          </cell>
          <cell r="Q15">
            <v>12</v>
          </cell>
          <cell r="S15">
            <v>4</v>
          </cell>
          <cell r="T15">
            <v>1</v>
          </cell>
          <cell r="U15">
            <v>100</v>
          </cell>
          <cell r="V15">
            <v>12</v>
          </cell>
          <cell r="X15">
            <v>3</v>
          </cell>
          <cell r="Y15">
            <v>1</v>
          </cell>
          <cell r="Z15">
            <v>100</v>
          </cell>
          <cell r="AA15">
            <v>12</v>
          </cell>
          <cell r="AC15">
            <v>0.3</v>
          </cell>
          <cell r="AD15">
            <v>1</v>
          </cell>
          <cell r="AE15">
            <v>100</v>
          </cell>
          <cell r="AF15">
            <v>1</v>
          </cell>
          <cell r="AH15">
            <v>6</v>
          </cell>
          <cell r="AI15">
            <v>1</v>
          </cell>
          <cell r="AJ15">
            <v>100</v>
          </cell>
          <cell r="AK15">
            <v>12</v>
          </cell>
          <cell r="AM15">
            <v>0.6</v>
          </cell>
          <cell r="AN15">
            <v>1</v>
          </cell>
          <cell r="AO15">
            <v>100</v>
          </cell>
          <cell r="AP15">
            <v>1</v>
          </cell>
          <cell r="AR15">
            <v>0.75</v>
          </cell>
          <cell r="AS15">
            <v>1</v>
          </cell>
          <cell r="AT15">
            <v>100</v>
          </cell>
          <cell r="AU15">
            <v>12</v>
          </cell>
          <cell r="AX15">
            <v>9</v>
          </cell>
          <cell r="AY15">
            <v>0.6</v>
          </cell>
          <cell r="AZ15">
            <v>5.6</v>
          </cell>
          <cell r="BA15">
            <v>6</v>
          </cell>
          <cell r="BB15">
            <v>4</v>
          </cell>
          <cell r="BC15">
            <v>3</v>
          </cell>
          <cell r="BD15">
            <v>0.3</v>
          </cell>
          <cell r="BE15">
            <v>6</v>
          </cell>
          <cell r="BF15">
            <v>0.6</v>
          </cell>
        </row>
        <row r="16">
          <cell r="B16">
            <v>10</v>
          </cell>
          <cell r="C16" t="str">
            <v>A. TAUFIK, S.Ag, MM</v>
          </cell>
          <cell r="D16">
            <v>0.9</v>
          </cell>
          <cell r="E16">
            <v>1</v>
          </cell>
          <cell r="F16">
            <v>100</v>
          </cell>
          <cell r="G16">
            <v>1</v>
          </cell>
          <cell r="I16">
            <v>6</v>
          </cell>
          <cell r="J16">
            <v>1</v>
          </cell>
          <cell r="K16">
            <v>100</v>
          </cell>
          <cell r="L16">
            <v>12</v>
          </cell>
          <cell r="N16">
            <v>9</v>
          </cell>
          <cell r="O16">
            <v>1</v>
          </cell>
          <cell r="P16">
            <v>100</v>
          </cell>
          <cell r="Q16">
            <v>12</v>
          </cell>
          <cell r="S16">
            <v>6</v>
          </cell>
          <cell r="T16">
            <v>1</v>
          </cell>
          <cell r="U16">
            <v>100</v>
          </cell>
          <cell r="V16">
            <v>12</v>
          </cell>
          <cell r="X16">
            <v>4.5</v>
          </cell>
          <cell r="Y16">
            <v>1</v>
          </cell>
          <cell r="Z16">
            <v>100</v>
          </cell>
          <cell r="AA16">
            <v>12</v>
          </cell>
          <cell r="AC16">
            <v>0.45</v>
          </cell>
          <cell r="AD16">
            <v>1</v>
          </cell>
          <cell r="AE16">
            <v>100</v>
          </cell>
          <cell r="AF16">
            <v>1</v>
          </cell>
          <cell r="AH16">
            <v>9</v>
          </cell>
          <cell r="AI16">
            <v>1</v>
          </cell>
          <cell r="AJ16">
            <v>100</v>
          </cell>
          <cell r="AK16">
            <v>12</v>
          </cell>
          <cell r="AM16">
            <v>0.9</v>
          </cell>
          <cell r="AN16">
            <v>1</v>
          </cell>
          <cell r="AO16">
            <v>100</v>
          </cell>
          <cell r="AP16">
            <v>1</v>
          </cell>
          <cell r="AR16">
            <v>0.75</v>
          </cell>
          <cell r="AS16">
            <v>1</v>
          </cell>
          <cell r="AT16">
            <v>100</v>
          </cell>
          <cell r="AU16">
            <v>12</v>
          </cell>
          <cell r="AX16">
            <v>10</v>
          </cell>
          <cell r="AY16">
            <v>0.9</v>
          </cell>
          <cell r="AZ16">
            <v>6</v>
          </cell>
          <cell r="BA16">
            <v>9</v>
          </cell>
          <cell r="BB16">
            <v>6</v>
          </cell>
          <cell r="BC16">
            <v>4.5</v>
          </cell>
          <cell r="BD16">
            <v>0.45</v>
          </cell>
          <cell r="BE16">
            <v>9</v>
          </cell>
          <cell r="BF16">
            <v>0.9</v>
          </cell>
        </row>
        <row r="17">
          <cell r="B17">
            <v>11</v>
          </cell>
          <cell r="C17" t="str">
            <v>Drs. HADI WIJAYA</v>
          </cell>
          <cell r="D17">
            <v>0.9</v>
          </cell>
          <cell r="E17">
            <v>1</v>
          </cell>
          <cell r="F17">
            <v>100</v>
          </cell>
          <cell r="G17">
            <v>1</v>
          </cell>
          <cell r="I17">
            <v>6</v>
          </cell>
          <cell r="J17">
            <v>1</v>
          </cell>
          <cell r="K17">
            <v>100</v>
          </cell>
          <cell r="L17">
            <v>12</v>
          </cell>
          <cell r="N17">
            <v>9</v>
          </cell>
          <cell r="O17">
            <v>1</v>
          </cell>
          <cell r="P17">
            <v>100</v>
          </cell>
          <cell r="Q17">
            <v>12</v>
          </cell>
          <cell r="S17">
            <v>6</v>
          </cell>
          <cell r="T17">
            <v>1</v>
          </cell>
          <cell r="U17">
            <v>100</v>
          </cell>
          <cell r="V17">
            <v>12</v>
          </cell>
          <cell r="X17">
            <v>4.5</v>
          </cell>
          <cell r="Y17">
            <v>1</v>
          </cell>
          <cell r="Z17">
            <v>100</v>
          </cell>
          <cell r="AA17">
            <v>12</v>
          </cell>
          <cell r="AC17">
            <v>0.45</v>
          </cell>
          <cell r="AD17">
            <v>1</v>
          </cell>
          <cell r="AE17">
            <v>100</v>
          </cell>
          <cell r="AF17">
            <v>1</v>
          </cell>
          <cell r="AH17">
            <v>9</v>
          </cell>
          <cell r="AI17">
            <v>1</v>
          </cell>
          <cell r="AJ17">
            <v>100</v>
          </cell>
          <cell r="AK17">
            <v>12</v>
          </cell>
          <cell r="AM17">
            <v>0.9</v>
          </cell>
          <cell r="AN17">
            <v>1</v>
          </cell>
          <cell r="AO17">
            <v>100</v>
          </cell>
          <cell r="AP17">
            <v>1</v>
          </cell>
          <cell r="AR17">
            <v>1</v>
          </cell>
          <cell r="AS17">
            <v>1</v>
          </cell>
          <cell r="AT17">
            <v>100</v>
          </cell>
          <cell r="AU17">
            <v>12</v>
          </cell>
          <cell r="AX17">
            <v>11</v>
          </cell>
          <cell r="AY17">
            <v>0.9</v>
          </cell>
          <cell r="AZ17">
            <v>6</v>
          </cell>
          <cell r="BA17">
            <v>9</v>
          </cell>
          <cell r="BB17">
            <v>6</v>
          </cell>
          <cell r="BC17">
            <v>4.5</v>
          </cell>
          <cell r="BD17">
            <v>0.45</v>
          </cell>
          <cell r="BE17">
            <v>9</v>
          </cell>
          <cell r="BF17">
            <v>0.9</v>
          </cell>
        </row>
        <row r="18">
          <cell r="B18">
            <v>12</v>
          </cell>
          <cell r="C18" t="str">
            <v>ARTATI ISMAILIA, SE, M.Ak</v>
          </cell>
          <cell r="D18">
            <v>0.9</v>
          </cell>
          <cell r="E18">
            <v>1</v>
          </cell>
          <cell r="F18">
            <v>100</v>
          </cell>
          <cell r="G18">
            <v>1</v>
          </cell>
          <cell r="I18">
            <v>6</v>
          </cell>
          <cell r="J18">
            <v>1</v>
          </cell>
          <cell r="K18">
            <v>100</v>
          </cell>
          <cell r="L18">
            <v>12</v>
          </cell>
          <cell r="N18">
            <v>9</v>
          </cell>
          <cell r="O18">
            <v>1</v>
          </cell>
          <cell r="P18">
            <v>100</v>
          </cell>
          <cell r="Q18">
            <v>12</v>
          </cell>
          <cell r="S18">
            <v>6</v>
          </cell>
          <cell r="T18">
            <v>1</v>
          </cell>
          <cell r="U18">
            <v>100</v>
          </cell>
          <cell r="V18">
            <v>12</v>
          </cell>
          <cell r="X18">
            <v>4.5</v>
          </cell>
          <cell r="Y18">
            <v>1</v>
          </cell>
          <cell r="Z18">
            <v>100</v>
          </cell>
          <cell r="AA18">
            <v>12</v>
          </cell>
          <cell r="AC18">
            <v>0.45</v>
          </cell>
          <cell r="AD18">
            <v>1</v>
          </cell>
          <cell r="AE18">
            <v>100</v>
          </cell>
          <cell r="AF18">
            <v>1</v>
          </cell>
          <cell r="AH18">
            <v>9</v>
          </cell>
          <cell r="AI18">
            <v>1</v>
          </cell>
          <cell r="AJ18">
            <v>100</v>
          </cell>
          <cell r="AK18">
            <v>12</v>
          </cell>
          <cell r="AM18">
            <v>0.9</v>
          </cell>
          <cell r="AN18">
            <v>1</v>
          </cell>
          <cell r="AO18">
            <v>100</v>
          </cell>
          <cell r="AP18">
            <v>1</v>
          </cell>
          <cell r="AR18">
            <v>0.75</v>
          </cell>
          <cell r="AS18">
            <v>1</v>
          </cell>
          <cell r="AT18">
            <v>100</v>
          </cell>
          <cell r="AU18">
            <v>12</v>
          </cell>
          <cell r="AX18">
            <v>12</v>
          </cell>
          <cell r="AY18">
            <v>0.9</v>
          </cell>
          <cell r="AZ18">
            <v>6</v>
          </cell>
          <cell r="BA18">
            <v>9</v>
          </cell>
          <cell r="BB18">
            <v>6</v>
          </cell>
          <cell r="BC18">
            <v>4.5</v>
          </cell>
          <cell r="BD18">
            <v>0.45</v>
          </cell>
          <cell r="BE18">
            <v>9</v>
          </cell>
          <cell r="BF18">
            <v>0.9</v>
          </cell>
        </row>
        <row r="19">
          <cell r="B19">
            <v>13</v>
          </cell>
          <cell r="C19" t="str">
            <v>Drs. AHMAD KHOTIB, M.Pd</v>
          </cell>
          <cell r="D19">
            <v>0.9</v>
          </cell>
          <cell r="E19">
            <v>1</v>
          </cell>
          <cell r="F19">
            <v>100</v>
          </cell>
          <cell r="G19">
            <v>1</v>
          </cell>
          <cell r="I19">
            <v>6</v>
          </cell>
          <cell r="J19">
            <v>1</v>
          </cell>
          <cell r="K19">
            <v>100</v>
          </cell>
          <cell r="L19">
            <v>12</v>
          </cell>
          <cell r="N19">
            <v>9</v>
          </cell>
          <cell r="O19">
            <v>1</v>
          </cell>
          <cell r="P19">
            <v>100</v>
          </cell>
          <cell r="Q19">
            <v>12</v>
          </cell>
          <cell r="S19">
            <v>6</v>
          </cell>
          <cell r="T19">
            <v>1</v>
          </cell>
          <cell r="U19">
            <v>100</v>
          </cell>
          <cell r="V19">
            <v>12</v>
          </cell>
          <cell r="X19">
            <v>4.5</v>
          </cell>
          <cell r="Y19">
            <v>1</v>
          </cell>
          <cell r="Z19">
            <v>100</v>
          </cell>
          <cell r="AA19">
            <v>12</v>
          </cell>
          <cell r="AC19">
            <v>0.45</v>
          </cell>
          <cell r="AD19">
            <v>1</v>
          </cell>
          <cell r="AE19">
            <v>100</v>
          </cell>
          <cell r="AF19">
            <v>1</v>
          </cell>
          <cell r="AH19">
            <v>9</v>
          </cell>
          <cell r="AI19">
            <v>1</v>
          </cell>
          <cell r="AJ19">
            <v>100</v>
          </cell>
          <cell r="AK19">
            <v>12</v>
          </cell>
          <cell r="AM19">
            <v>0.9</v>
          </cell>
          <cell r="AN19">
            <v>1</v>
          </cell>
          <cell r="AO19">
            <v>100</v>
          </cell>
          <cell r="AP19">
            <v>1</v>
          </cell>
          <cell r="AR19">
            <v>0.75</v>
          </cell>
          <cell r="AS19">
            <v>1</v>
          </cell>
          <cell r="AT19">
            <v>100</v>
          </cell>
          <cell r="AU19">
            <v>12</v>
          </cell>
          <cell r="AX19">
            <v>13</v>
          </cell>
          <cell r="AY19">
            <v>0.9</v>
          </cell>
          <cell r="AZ19">
            <v>6</v>
          </cell>
          <cell r="BA19">
            <v>9</v>
          </cell>
          <cell r="BB19">
            <v>6</v>
          </cell>
          <cell r="BC19">
            <v>4.5</v>
          </cell>
          <cell r="BD19">
            <v>0.45</v>
          </cell>
          <cell r="BE19">
            <v>9</v>
          </cell>
          <cell r="BF19">
            <v>0.9</v>
          </cell>
        </row>
        <row r="20">
          <cell r="B20">
            <v>14</v>
          </cell>
          <cell r="C20" t="str">
            <v>SUTAN ASWIN, S.Pd</v>
          </cell>
          <cell r="D20">
            <v>0.9</v>
          </cell>
          <cell r="E20">
            <v>1</v>
          </cell>
          <cell r="F20">
            <v>100</v>
          </cell>
          <cell r="G20">
            <v>1</v>
          </cell>
          <cell r="I20">
            <v>6</v>
          </cell>
          <cell r="J20">
            <v>1</v>
          </cell>
          <cell r="K20">
            <v>100</v>
          </cell>
          <cell r="L20">
            <v>12</v>
          </cell>
          <cell r="N20">
            <v>9</v>
          </cell>
          <cell r="O20">
            <v>1</v>
          </cell>
          <cell r="P20">
            <v>100</v>
          </cell>
          <cell r="Q20">
            <v>12</v>
          </cell>
          <cell r="S20">
            <v>6</v>
          </cell>
          <cell r="T20">
            <v>1</v>
          </cell>
          <cell r="U20">
            <v>100</v>
          </cell>
          <cell r="V20">
            <v>12</v>
          </cell>
          <cell r="X20">
            <v>4.5</v>
          </cell>
          <cell r="Y20">
            <v>1</v>
          </cell>
          <cell r="Z20">
            <v>100</v>
          </cell>
          <cell r="AA20">
            <v>12</v>
          </cell>
          <cell r="AC20">
            <v>0.45</v>
          </cell>
          <cell r="AD20">
            <v>1</v>
          </cell>
          <cell r="AE20">
            <v>100</v>
          </cell>
          <cell r="AF20">
            <v>1</v>
          </cell>
          <cell r="AH20">
            <v>9</v>
          </cell>
          <cell r="AI20">
            <v>1</v>
          </cell>
          <cell r="AJ20">
            <v>100</v>
          </cell>
          <cell r="AK20">
            <v>12</v>
          </cell>
          <cell r="AM20">
            <v>0.9</v>
          </cell>
          <cell r="AN20">
            <v>1</v>
          </cell>
          <cell r="AO20">
            <v>100</v>
          </cell>
          <cell r="AP20">
            <v>1</v>
          </cell>
          <cell r="AR20">
            <v>0.75</v>
          </cell>
          <cell r="AS20">
            <v>1</v>
          </cell>
          <cell r="AT20">
            <v>100</v>
          </cell>
          <cell r="AU20">
            <v>12</v>
          </cell>
          <cell r="AX20">
            <v>14</v>
          </cell>
          <cell r="AY20">
            <v>0.9</v>
          </cell>
          <cell r="AZ20">
            <v>6</v>
          </cell>
          <cell r="BA20">
            <v>9</v>
          </cell>
          <cell r="BB20">
            <v>6</v>
          </cell>
          <cell r="BC20">
            <v>4.5</v>
          </cell>
          <cell r="BD20">
            <v>0.45</v>
          </cell>
          <cell r="BE20">
            <v>9</v>
          </cell>
          <cell r="BF20">
            <v>0.9</v>
          </cell>
        </row>
        <row r="21">
          <cell r="B21">
            <v>15</v>
          </cell>
          <cell r="C21" t="str">
            <v>Dra. IDA SAIDAH, M.MPd</v>
          </cell>
          <cell r="D21">
            <v>0.9</v>
          </cell>
          <cell r="E21">
            <v>1</v>
          </cell>
          <cell r="F21">
            <v>100</v>
          </cell>
          <cell r="G21">
            <v>1</v>
          </cell>
          <cell r="I21">
            <v>6</v>
          </cell>
          <cell r="J21">
            <v>1</v>
          </cell>
          <cell r="K21">
            <v>100</v>
          </cell>
          <cell r="L21">
            <v>12</v>
          </cell>
          <cell r="N21">
            <v>9</v>
          </cell>
          <cell r="O21">
            <v>1</v>
          </cell>
          <cell r="P21">
            <v>100</v>
          </cell>
          <cell r="Q21">
            <v>12</v>
          </cell>
          <cell r="S21">
            <v>6</v>
          </cell>
          <cell r="T21">
            <v>1</v>
          </cell>
          <cell r="U21">
            <v>100</v>
          </cell>
          <cell r="V21">
            <v>12</v>
          </cell>
          <cell r="X21">
            <v>4.5</v>
          </cell>
          <cell r="Y21">
            <v>1</v>
          </cell>
          <cell r="Z21">
            <v>100</v>
          </cell>
          <cell r="AA21">
            <v>12</v>
          </cell>
          <cell r="AC21">
            <v>0.45</v>
          </cell>
          <cell r="AD21">
            <v>1</v>
          </cell>
          <cell r="AE21">
            <v>100</v>
          </cell>
          <cell r="AF21">
            <v>1</v>
          </cell>
          <cell r="AH21">
            <v>9</v>
          </cell>
          <cell r="AI21">
            <v>1</v>
          </cell>
          <cell r="AJ21">
            <v>100</v>
          </cell>
          <cell r="AK21">
            <v>12</v>
          </cell>
          <cell r="AM21">
            <v>0.9</v>
          </cell>
          <cell r="AN21">
            <v>1</v>
          </cell>
          <cell r="AO21">
            <v>100</v>
          </cell>
          <cell r="AP21">
            <v>1</v>
          </cell>
          <cell r="AR21">
            <v>0.75</v>
          </cell>
          <cell r="AS21">
            <v>1</v>
          </cell>
          <cell r="AT21">
            <v>100</v>
          </cell>
          <cell r="AU21">
            <v>12</v>
          </cell>
          <cell r="AX21">
            <v>15</v>
          </cell>
          <cell r="AY21">
            <v>0.9</v>
          </cell>
          <cell r="AZ21">
            <v>6</v>
          </cell>
          <cell r="BA21">
            <v>9</v>
          </cell>
          <cell r="BB21">
            <v>6</v>
          </cell>
          <cell r="BC21">
            <v>4.5</v>
          </cell>
          <cell r="BD21">
            <v>0.45</v>
          </cell>
          <cell r="BE21">
            <v>9</v>
          </cell>
          <cell r="BF21">
            <v>0.9</v>
          </cell>
        </row>
        <row r="22">
          <cell r="B22">
            <v>16</v>
          </cell>
          <cell r="C22" t="str">
            <v>Dra. Hj. JAMILAH, M.Pd</v>
          </cell>
          <cell r="D22">
            <v>0.9</v>
          </cell>
          <cell r="E22">
            <v>1</v>
          </cell>
          <cell r="F22">
            <v>100</v>
          </cell>
          <cell r="G22">
            <v>1</v>
          </cell>
          <cell r="I22">
            <v>6</v>
          </cell>
          <cell r="J22">
            <v>1</v>
          </cell>
          <cell r="K22">
            <v>100</v>
          </cell>
          <cell r="L22">
            <v>12</v>
          </cell>
          <cell r="N22">
            <v>9</v>
          </cell>
          <cell r="O22">
            <v>1</v>
          </cell>
          <cell r="P22">
            <v>100</v>
          </cell>
          <cell r="Q22">
            <v>12</v>
          </cell>
          <cell r="S22">
            <v>6</v>
          </cell>
          <cell r="T22">
            <v>1</v>
          </cell>
          <cell r="U22">
            <v>100</v>
          </cell>
          <cell r="V22">
            <v>12</v>
          </cell>
          <cell r="X22">
            <v>4.5</v>
          </cell>
          <cell r="Y22">
            <v>1</v>
          </cell>
          <cell r="Z22">
            <v>100</v>
          </cell>
          <cell r="AA22">
            <v>12</v>
          </cell>
          <cell r="AC22">
            <v>0.45</v>
          </cell>
          <cell r="AD22">
            <v>1</v>
          </cell>
          <cell r="AE22">
            <v>100</v>
          </cell>
          <cell r="AF22">
            <v>1</v>
          </cell>
          <cell r="AH22">
            <v>9</v>
          </cell>
          <cell r="AI22">
            <v>1</v>
          </cell>
          <cell r="AJ22">
            <v>100</v>
          </cell>
          <cell r="AK22">
            <v>12</v>
          </cell>
          <cell r="AM22">
            <v>0.9</v>
          </cell>
          <cell r="AN22">
            <v>1</v>
          </cell>
          <cell r="AO22">
            <v>100</v>
          </cell>
          <cell r="AP22">
            <v>1</v>
          </cell>
          <cell r="AR22">
            <v>0.75</v>
          </cell>
          <cell r="AS22">
            <v>1</v>
          </cell>
          <cell r="AT22">
            <v>100</v>
          </cell>
          <cell r="AU22">
            <v>12</v>
          </cell>
          <cell r="AX22">
            <v>16</v>
          </cell>
          <cell r="AY22">
            <v>0.9</v>
          </cell>
          <cell r="AZ22">
            <v>6</v>
          </cell>
          <cell r="BA22">
            <v>9</v>
          </cell>
          <cell r="BB22">
            <v>6</v>
          </cell>
          <cell r="BC22">
            <v>4.5</v>
          </cell>
          <cell r="BD22">
            <v>0.45</v>
          </cell>
          <cell r="BE22">
            <v>9</v>
          </cell>
          <cell r="BF22">
            <v>0.9</v>
          </cell>
        </row>
        <row r="23">
          <cell r="B23">
            <v>17</v>
          </cell>
          <cell r="C23" t="str">
            <v>Dra. Hj. ZURNI ASNIDA</v>
          </cell>
          <cell r="D23">
            <v>0.9</v>
          </cell>
          <cell r="E23">
            <v>1</v>
          </cell>
          <cell r="F23">
            <v>100</v>
          </cell>
          <cell r="G23">
            <v>1</v>
          </cell>
          <cell r="I23">
            <v>6</v>
          </cell>
          <cell r="J23">
            <v>1</v>
          </cell>
          <cell r="K23">
            <v>100</v>
          </cell>
          <cell r="L23">
            <v>12</v>
          </cell>
          <cell r="N23">
            <v>9</v>
          </cell>
          <cell r="O23">
            <v>1</v>
          </cell>
          <cell r="P23">
            <v>100</v>
          </cell>
          <cell r="Q23">
            <v>12</v>
          </cell>
          <cell r="S23">
            <v>6</v>
          </cell>
          <cell r="T23">
            <v>1</v>
          </cell>
          <cell r="U23">
            <v>100</v>
          </cell>
          <cell r="V23">
            <v>12</v>
          </cell>
          <cell r="X23">
            <v>4.5</v>
          </cell>
          <cell r="Y23">
            <v>1</v>
          </cell>
          <cell r="Z23">
            <v>100</v>
          </cell>
          <cell r="AA23">
            <v>12</v>
          </cell>
          <cell r="AC23">
            <v>0.45</v>
          </cell>
          <cell r="AD23">
            <v>1</v>
          </cell>
          <cell r="AE23">
            <v>100</v>
          </cell>
          <cell r="AF23">
            <v>1</v>
          </cell>
          <cell r="AH23">
            <v>9</v>
          </cell>
          <cell r="AI23">
            <v>1</v>
          </cell>
          <cell r="AJ23">
            <v>100</v>
          </cell>
          <cell r="AK23">
            <v>12</v>
          </cell>
          <cell r="AM23">
            <v>0.9</v>
          </cell>
          <cell r="AN23">
            <v>1</v>
          </cell>
          <cell r="AO23">
            <v>100</v>
          </cell>
          <cell r="AP23">
            <v>1</v>
          </cell>
          <cell r="AR23">
            <v>0.75</v>
          </cell>
          <cell r="AS23">
            <v>1</v>
          </cell>
          <cell r="AT23">
            <v>100</v>
          </cell>
          <cell r="AU23">
            <v>12</v>
          </cell>
          <cell r="AX23">
            <v>17</v>
          </cell>
          <cell r="AY23">
            <v>0.9</v>
          </cell>
          <cell r="AZ23">
            <v>6</v>
          </cell>
          <cell r="BA23">
            <v>9</v>
          </cell>
          <cell r="BB23">
            <v>6</v>
          </cell>
          <cell r="BC23">
            <v>4.5</v>
          </cell>
          <cell r="BD23">
            <v>0.45</v>
          </cell>
          <cell r="BE23">
            <v>9</v>
          </cell>
          <cell r="BF23">
            <v>0.9</v>
          </cell>
        </row>
        <row r="24">
          <cell r="B24">
            <v>18</v>
          </cell>
          <cell r="C24" t="str">
            <v>TANTI ASTRIATIE Z, S.Pd, M.Pd</v>
          </cell>
          <cell r="D24">
            <v>0.6</v>
          </cell>
          <cell r="E24">
            <v>1</v>
          </cell>
          <cell r="F24">
            <v>100</v>
          </cell>
          <cell r="G24">
            <v>1</v>
          </cell>
          <cell r="I24">
            <v>5.6</v>
          </cell>
          <cell r="J24">
            <v>1</v>
          </cell>
          <cell r="K24">
            <v>100</v>
          </cell>
          <cell r="L24">
            <v>12</v>
          </cell>
          <cell r="N24">
            <v>6</v>
          </cell>
          <cell r="O24">
            <v>1</v>
          </cell>
          <cell r="P24">
            <v>100</v>
          </cell>
          <cell r="Q24">
            <v>12</v>
          </cell>
          <cell r="S24">
            <v>4</v>
          </cell>
          <cell r="T24">
            <v>1</v>
          </cell>
          <cell r="U24">
            <v>100</v>
          </cell>
          <cell r="V24">
            <v>12</v>
          </cell>
          <cell r="X24">
            <v>3</v>
          </cell>
          <cell r="Y24">
            <v>1</v>
          </cell>
          <cell r="Z24">
            <v>100</v>
          </cell>
          <cell r="AA24">
            <v>12</v>
          </cell>
          <cell r="AC24">
            <v>0.3</v>
          </cell>
          <cell r="AD24">
            <v>1</v>
          </cell>
          <cell r="AE24">
            <v>100</v>
          </cell>
          <cell r="AF24">
            <v>1</v>
          </cell>
          <cell r="AH24">
            <v>6</v>
          </cell>
          <cell r="AI24">
            <v>1</v>
          </cell>
          <cell r="AJ24">
            <v>100</v>
          </cell>
          <cell r="AK24">
            <v>12</v>
          </cell>
          <cell r="AM24">
            <v>0.6</v>
          </cell>
          <cell r="AN24">
            <v>1</v>
          </cell>
          <cell r="AO24">
            <v>100</v>
          </cell>
          <cell r="AP24">
            <v>1</v>
          </cell>
          <cell r="AR24">
            <v>0.75</v>
          </cell>
          <cell r="AS24">
            <v>1</v>
          </cell>
          <cell r="AT24">
            <v>100</v>
          </cell>
          <cell r="AU24">
            <v>12</v>
          </cell>
          <cell r="AX24">
            <v>18</v>
          </cell>
          <cell r="AY24">
            <v>0.6</v>
          </cell>
          <cell r="AZ24">
            <v>5.6</v>
          </cell>
          <cell r="BA24">
            <v>6</v>
          </cell>
          <cell r="BB24">
            <v>4</v>
          </cell>
          <cell r="BC24">
            <v>3</v>
          </cell>
          <cell r="BD24">
            <v>0.3</v>
          </cell>
          <cell r="BE24">
            <v>6</v>
          </cell>
          <cell r="BF24">
            <v>0.6</v>
          </cell>
        </row>
        <row r="25">
          <cell r="B25">
            <v>19</v>
          </cell>
          <cell r="C25" t="str">
            <v>KUSWIYATI, S.Pd, M.Pd</v>
          </cell>
          <cell r="D25">
            <v>0.6</v>
          </cell>
          <cell r="E25">
            <v>1</v>
          </cell>
          <cell r="F25">
            <v>100</v>
          </cell>
          <cell r="G25">
            <v>1</v>
          </cell>
          <cell r="I25">
            <v>5.6</v>
          </cell>
          <cell r="J25">
            <v>1</v>
          </cell>
          <cell r="K25">
            <v>100</v>
          </cell>
          <cell r="L25">
            <v>12</v>
          </cell>
          <cell r="N25">
            <v>6</v>
          </cell>
          <cell r="O25">
            <v>1</v>
          </cell>
          <cell r="P25">
            <v>100</v>
          </cell>
          <cell r="Q25">
            <v>12</v>
          </cell>
          <cell r="S25">
            <v>4</v>
          </cell>
          <cell r="T25">
            <v>1</v>
          </cell>
          <cell r="U25">
            <v>100</v>
          </cell>
          <cell r="V25">
            <v>12</v>
          </cell>
          <cell r="X25">
            <v>3</v>
          </cell>
          <cell r="Y25">
            <v>1</v>
          </cell>
          <cell r="Z25">
            <v>100</v>
          </cell>
          <cell r="AA25">
            <v>12</v>
          </cell>
          <cell r="AC25">
            <v>0.3</v>
          </cell>
          <cell r="AD25">
            <v>1</v>
          </cell>
          <cell r="AE25">
            <v>100</v>
          </cell>
          <cell r="AF25">
            <v>1</v>
          </cell>
          <cell r="AH25">
            <v>6</v>
          </cell>
          <cell r="AI25">
            <v>1</v>
          </cell>
          <cell r="AJ25">
            <v>100</v>
          </cell>
          <cell r="AK25">
            <v>12</v>
          </cell>
          <cell r="AM25">
            <v>0.6</v>
          </cell>
          <cell r="AN25">
            <v>1</v>
          </cell>
          <cell r="AO25">
            <v>100</v>
          </cell>
          <cell r="AP25">
            <v>1</v>
          </cell>
          <cell r="AR25">
            <v>0.75</v>
          </cell>
          <cell r="AS25">
            <v>1</v>
          </cell>
          <cell r="AT25">
            <v>100</v>
          </cell>
          <cell r="AU25">
            <v>12</v>
          </cell>
          <cell r="AX25">
            <v>19</v>
          </cell>
          <cell r="AY25">
            <v>0.6</v>
          </cell>
          <cell r="AZ25">
            <v>5.6</v>
          </cell>
          <cell r="BA25">
            <v>6</v>
          </cell>
          <cell r="BB25">
            <v>4</v>
          </cell>
          <cell r="BC25">
            <v>3</v>
          </cell>
          <cell r="BD25">
            <v>0.3</v>
          </cell>
          <cell r="BE25">
            <v>6</v>
          </cell>
          <cell r="BF25">
            <v>0.6</v>
          </cell>
        </row>
        <row r="26">
          <cell r="B26">
            <v>20</v>
          </cell>
          <cell r="C26" t="str">
            <v>RUSDAH, S.Ag</v>
          </cell>
          <cell r="D26">
            <v>0.6</v>
          </cell>
          <cell r="E26">
            <v>1</v>
          </cell>
          <cell r="F26">
            <v>100</v>
          </cell>
          <cell r="G26">
            <v>1</v>
          </cell>
          <cell r="I26">
            <v>5.6</v>
          </cell>
          <cell r="J26">
            <v>1</v>
          </cell>
          <cell r="K26">
            <v>100</v>
          </cell>
          <cell r="L26">
            <v>12</v>
          </cell>
          <cell r="N26">
            <v>6</v>
          </cell>
          <cell r="O26">
            <v>1</v>
          </cell>
          <cell r="P26">
            <v>100</v>
          </cell>
          <cell r="Q26">
            <v>12</v>
          </cell>
          <cell r="S26">
            <v>4</v>
          </cell>
          <cell r="T26">
            <v>1</v>
          </cell>
          <cell r="U26">
            <v>100</v>
          </cell>
          <cell r="V26">
            <v>12</v>
          </cell>
          <cell r="X26">
            <v>3</v>
          </cell>
          <cell r="Y26">
            <v>1</v>
          </cell>
          <cell r="Z26">
            <v>100</v>
          </cell>
          <cell r="AA26">
            <v>12</v>
          </cell>
          <cell r="AC26">
            <v>0.3</v>
          </cell>
          <cell r="AD26">
            <v>1</v>
          </cell>
          <cell r="AE26">
            <v>100</v>
          </cell>
          <cell r="AF26">
            <v>1</v>
          </cell>
          <cell r="AH26">
            <v>6</v>
          </cell>
          <cell r="AI26">
            <v>1</v>
          </cell>
          <cell r="AJ26">
            <v>100</v>
          </cell>
          <cell r="AK26">
            <v>12</v>
          </cell>
          <cell r="AM26">
            <v>0.6</v>
          </cell>
          <cell r="AN26">
            <v>1</v>
          </cell>
          <cell r="AO26">
            <v>100</v>
          </cell>
          <cell r="AP26">
            <v>1</v>
          </cell>
          <cell r="AR26">
            <v>0.75</v>
          </cell>
          <cell r="AS26">
            <v>1</v>
          </cell>
          <cell r="AT26">
            <v>100</v>
          </cell>
          <cell r="AU26">
            <v>12</v>
          </cell>
          <cell r="AX26">
            <v>20</v>
          </cell>
          <cell r="AY26">
            <v>0.6</v>
          </cell>
          <cell r="AZ26">
            <v>5.6</v>
          </cell>
          <cell r="BA26">
            <v>6</v>
          </cell>
          <cell r="BB26">
            <v>4</v>
          </cell>
          <cell r="BC26">
            <v>3</v>
          </cell>
          <cell r="BD26">
            <v>0.3</v>
          </cell>
          <cell r="BE26">
            <v>6</v>
          </cell>
          <cell r="BF26">
            <v>0.6</v>
          </cell>
        </row>
        <row r="27">
          <cell r="B27">
            <v>21</v>
          </cell>
          <cell r="C27" t="str">
            <v>WAWAN KURNIAWAN, S.Pd, M.Si</v>
          </cell>
          <cell r="D27">
            <v>0.6</v>
          </cell>
          <cell r="E27">
            <v>1</v>
          </cell>
          <cell r="F27">
            <v>100</v>
          </cell>
          <cell r="G27">
            <v>1</v>
          </cell>
          <cell r="I27">
            <v>5.6</v>
          </cell>
          <cell r="J27">
            <v>1</v>
          </cell>
          <cell r="K27">
            <v>100</v>
          </cell>
          <cell r="L27">
            <v>12</v>
          </cell>
          <cell r="N27">
            <v>6</v>
          </cell>
          <cell r="O27">
            <v>1</v>
          </cell>
          <cell r="P27">
            <v>100</v>
          </cell>
          <cell r="Q27">
            <v>12</v>
          </cell>
          <cell r="S27">
            <v>4</v>
          </cell>
          <cell r="T27">
            <v>1</v>
          </cell>
          <cell r="U27">
            <v>100</v>
          </cell>
          <cell r="V27">
            <v>12</v>
          </cell>
          <cell r="X27">
            <v>3</v>
          </cell>
          <cell r="Y27">
            <v>1</v>
          </cell>
          <cell r="Z27">
            <v>100</v>
          </cell>
          <cell r="AA27">
            <v>12</v>
          </cell>
          <cell r="AC27">
            <v>0.3</v>
          </cell>
          <cell r="AD27">
            <v>1</v>
          </cell>
          <cell r="AE27">
            <v>100</v>
          </cell>
          <cell r="AF27">
            <v>1</v>
          </cell>
          <cell r="AH27">
            <v>6</v>
          </cell>
          <cell r="AI27">
            <v>1</v>
          </cell>
          <cell r="AJ27">
            <v>100</v>
          </cell>
          <cell r="AK27">
            <v>12</v>
          </cell>
          <cell r="AM27">
            <v>0.6</v>
          </cell>
          <cell r="AN27">
            <v>1</v>
          </cell>
          <cell r="AO27">
            <v>100</v>
          </cell>
          <cell r="AP27">
            <v>1</v>
          </cell>
          <cell r="AR27">
            <v>0.75</v>
          </cell>
          <cell r="AS27">
            <v>1</v>
          </cell>
          <cell r="AT27">
            <v>100</v>
          </cell>
          <cell r="AU27">
            <v>12</v>
          </cell>
          <cell r="AX27">
            <v>21</v>
          </cell>
          <cell r="AY27">
            <v>0.6</v>
          </cell>
          <cell r="AZ27">
            <v>5.6</v>
          </cell>
          <cell r="BA27">
            <v>6</v>
          </cell>
          <cell r="BB27">
            <v>4</v>
          </cell>
          <cell r="BC27">
            <v>3</v>
          </cell>
          <cell r="BD27">
            <v>0.3</v>
          </cell>
          <cell r="BE27">
            <v>6</v>
          </cell>
          <cell r="BF27">
            <v>0.6</v>
          </cell>
        </row>
        <row r="28">
          <cell r="B28">
            <v>22</v>
          </cell>
          <cell r="C28" t="str">
            <v>MUHAMMAD YUNUS, S.Ag, M.Pd</v>
          </cell>
          <cell r="D28">
            <v>0.6</v>
          </cell>
          <cell r="E28">
            <v>1</v>
          </cell>
          <cell r="F28">
            <v>100</v>
          </cell>
          <cell r="G28">
            <v>1</v>
          </cell>
          <cell r="I28">
            <v>5.6</v>
          </cell>
          <cell r="J28">
            <v>1</v>
          </cell>
          <cell r="K28">
            <v>100</v>
          </cell>
          <cell r="L28">
            <v>12</v>
          </cell>
          <cell r="N28">
            <v>6</v>
          </cell>
          <cell r="O28">
            <v>1</v>
          </cell>
          <cell r="P28">
            <v>100</v>
          </cell>
          <cell r="Q28">
            <v>12</v>
          </cell>
          <cell r="S28">
            <v>4</v>
          </cell>
          <cell r="T28">
            <v>1</v>
          </cell>
          <cell r="U28">
            <v>100</v>
          </cell>
          <cell r="V28">
            <v>12</v>
          </cell>
          <cell r="X28">
            <v>3</v>
          </cell>
          <cell r="Y28">
            <v>1</v>
          </cell>
          <cell r="Z28">
            <v>100</v>
          </cell>
          <cell r="AA28">
            <v>12</v>
          </cell>
          <cell r="AC28">
            <v>0.3</v>
          </cell>
          <cell r="AD28">
            <v>1</v>
          </cell>
          <cell r="AE28">
            <v>100</v>
          </cell>
          <cell r="AF28">
            <v>1</v>
          </cell>
          <cell r="AH28">
            <v>6</v>
          </cell>
          <cell r="AI28">
            <v>1</v>
          </cell>
          <cell r="AJ28">
            <v>100</v>
          </cell>
          <cell r="AK28">
            <v>12</v>
          </cell>
          <cell r="AM28">
            <v>0.6</v>
          </cell>
          <cell r="AN28">
            <v>1</v>
          </cell>
          <cell r="AO28">
            <v>100</v>
          </cell>
          <cell r="AP28">
            <v>1</v>
          </cell>
          <cell r="AR28">
            <v>0.75</v>
          </cell>
          <cell r="AS28">
            <v>1</v>
          </cell>
          <cell r="AT28">
            <v>100</v>
          </cell>
          <cell r="AU28">
            <v>12</v>
          </cell>
          <cell r="AX28">
            <v>22</v>
          </cell>
          <cell r="AY28">
            <v>0.6</v>
          </cell>
          <cell r="AZ28">
            <v>5.6</v>
          </cell>
          <cell r="BA28">
            <v>6</v>
          </cell>
          <cell r="BB28">
            <v>4</v>
          </cell>
          <cell r="BC28">
            <v>3</v>
          </cell>
          <cell r="BD28">
            <v>0.3</v>
          </cell>
          <cell r="BE28">
            <v>6</v>
          </cell>
          <cell r="BF28">
            <v>0.6</v>
          </cell>
        </row>
        <row r="29">
          <cell r="B29">
            <v>23</v>
          </cell>
          <cell r="C29" t="str">
            <v>Drs. SASTRO JAGO HARTONO</v>
          </cell>
          <cell r="D29">
            <v>0.9</v>
          </cell>
          <cell r="E29">
            <v>1</v>
          </cell>
          <cell r="F29">
            <v>100</v>
          </cell>
          <cell r="G29">
            <v>1</v>
          </cell>
          <cell r="I29">
            <v>6</v>
          </cell>
          <cell r="J29">
            <v>1</v>
          </cell>
          <cell r="K29">
            <v>100</v>
          </cell>
          <cell r="L29">
            <v>12</v>
          </cell>
          <cell r="N29">
            <v>9</v>
          </cell>
          <cell r="O29">
            <v>1</v>
          </cell>
          <cell r="P29">
            <v>100</v>
          </cell>
          <cell r="Q29">
            <v>12</v>
          </cell>
          <cell r="S29">
            <v>6</v>
          </cell>
          <cell r="T29">
            <v>1</v>
          </cell>
          <cell r="U29">
            <v>100</v>
          </cell>
          <cell r="V29">
            <v>12</v>
          </cell>
          <cell r="X29">
            <v>4.5</v>
          </cell>
          <cell r="Y29">
            <v>1</v>
          </cell>
          <cell r="Z29">
            <v>100</v>
          </cell>
          <cell r="AA29">
            <v>12</v>
          </cell>
          <cell r="AC29">
            <v>0.45</v>
          </cell>
          <cell r="AD29">
            <v>1</v>
          </cell>
          <cell r="AE29">
            <v>100</v>
          </cell>
          <cell r="AF29">
            <v>1</v>
          </cell>
          <cell r="AH29">
            <v>9</v>
          </cell>
          <cell r="AI29">
            <v>1</v>
          </cell>
          <cell r="AJ29">
            <v>100</v>
          </cell>
          <cell r="AK29">
            <v>12</v>
          </cell>
          <cell r="AM29">
            <v>0.9</v>
          </cell>
          <cell r="AN29">
            <v>1</v>
          </cell>
          <cell r="AO29">
            <v>100</v>
          </cell>
          <cell r="AP29">
            <v>1</v>
          </cell>
          <cell r="AR29">
            <v>0.75</v>
          </cell>
          <cell r="AS29">
            <v>1</v>
          </cell>
          <cell r="AT29">
            <v>100</v>
          </cell>
          <cell r="AU29">
            <v>12</v>
          </cell>
          <cell r="AX29">
            <v>23</v>
          </cell>
          <cell r="AY29">
            <v>0.9</v>
          </cell>
          <cell r="AZ29">
            <v>6</v>
          </cell>
          <cell r="BA29">
            <v>9</v>
          </cell>
          <cell r="BB29">
            <v>6</v>
          </cell>
          <cell r="BC29">
            <v>4.5</v>
          </cell>
          <cell r="BD29">
            <v>0.45</v>
          </cell>
          <cell r="BE29">
            <v>9</v>
          </cell>
          <cell r="BF29">
            <v>0.9</v>
          </cell>
        </row>
        <row r="30">
          <cell r="B30">
            <v>24</v>
          </cell>
          <cell r="C30" t="str">
            <v>RUSTIATI, S.Pd, M.Pd</v>
          </cell>
          <cell r="D30">
            <v>0.6</v>
          </cell>
          <cell r="E30">
            <v>1</v>
          </cell>
          <cell r="F30">
            <v>100</v>
          </cell>
          <cell r="G30">
            <v>1</v>
          </cell>
          <cell r="I30">
            <v>5.6</v>
          </cell>
          <cell r="J30">
            <v>1</v>
          </cell>
          <cell r="K30">
            <v>100</v>
          </cell>
          <cell r="L30">
            <v>12</v>
          </cell>
          <cell r="N30">
            <v>6</v>
          </cell>
          <cell r="O30">
            <v>1</v>
          </cell>
          <cell r="P30">
            <v>100</v>
          </cell>
          <cell r="Q30">
            <v>12</v>
          </cell>
          <cell r="S30">
            <v>4</v>
          </cell>
          <cell r="T30">
            <v>1</v>
          </cell>
          <cell r="U30">
            <v>100</v>
          </cell>
          <cell r="V30">
            <v>12</v>
          </cell>
          <cell r="X30">
            <v>3</v>
          </cell>
          <cell r="Y30">
            <v>1</v>
          </cell>
          <cell r="Z30">
            <v>100</v>
          </cell>
          <cell r="AA30">
            <v>12</v>
          </cell>
          <cell r="AC30">
            <v>0.3</v>
          </cell>
          <cell r="AD30">
            <v>1</v>
          </cell>
          <cell r="AE30">
            <v>100</v>
          </cell>
          <cell r="AF30">
            <v>1</v>
          </cell>
          <cell r="AH30">
            <v>6</v>
          </cell>
          <cell r="AI30">
            <v>1</v>
          </cell>
          <cell r="AJ30">
            <v>100</v>
          </cell>
          <cell r="AK30">
            <v>12</v>
          </cell>
          <cell r="AM30">
            <v>0.6</v>
          </cell>
          <cell r="AN30">
            <v>1</v>
          </cell>
          <cell r="AO30">
            <v>100</v>
          </cell>
          <cell r="AP30">
            <v>1</v>
          </cell>
          <cell r="AR30">
            <v>0.75</v>
          </cell>
          <cell r="AS30">
            <v>1</v>
          </cell>
          <cell r="AT30">
            <v>100</v>
          </cell>
          <cell r="AU30">
            <v>12</v>
          </cell>
          <cell r="AX30">
            <v>24</v>
          </cell>
          <cell r="AY30">
            <v>0.6</v>
          </cell>
          <cell r="AZ30">
            <v>5.6</v>
          </cell>
          <cell r="BA30">
            <v>6</v>
          </cell>
          <cell r="BB30">
            <v>4</v>
          </cell>
          <cell r="BC30">
            <v>3</v>
          </cell>
          <cell r="BD30">
            <v>0.3</v>
          </cell>
          <cell r="BE30">
            <v>6</v>
          </cell>
          <cell r="BF30">
            <v>0.6</v>
          </cell>
        </row>
        <row r="31">
          <cell r="B31">
            <v>25</v>
          </cell>
          <cell r="C31" t="str">
            <v>SARJONO S.Pd</v>
          </cell>
          <cell r="D31">
            <v>0.6</v>
          </cell>
          <cell r="E31">
            <v>1</v>
          </cell>
          <cell r="F31">
            <v>100</v>
          </cell>
          <cell r="G31">
            <v>1</v>
          </cell>
          <cell r="I31">
            <v>5.6</v>
          </cell>
          <cell r="J31">
            <v>1</v>
          </cell>
          <cell r="K31">
            <v>100</v>
          </cell>
          <cell r="L31">
            <v>12</v>
          </cell>
          <cell r="N31">
            <v>6</v>
          </cell>
          <cell r="O31">
            <v>1</v>
          </cell>
          <cell r="P31">
            <v>100</v>
          </cell>
          <cell r="Q31">
            <v>12</v>
          </cell>
          <cell r="S31">
            <v>4</v>
          </cell>
          <cell r="T31">
            <v>1</v>
          </cell>
          <cell r="U31">
            <v>100</v>
          </cell>
          <cell r="V31">
            <v>12</v>
          </cell>
          <cell r="X31">
            <v>3</v>
          </cell>
          <cell r="Y31">
            <v>1</v>
          </cell>
          <cell r="Z31">
            <v>100</v>
          </cell>
          <cell r="AA31">
            <v>12</v>
          </cell>
          <cell r="AC31">
            <v>0.3</v>
          </cell>
          <cell r="AD31">
            <v>1</v>
          </cell>
          <cell r="AE31">
            <v>100</v>
          </cell>
          <cell r="AF31">
            <v>1</v>
          </cell>
          <cell r="AH31">
            <v>6</v>
          </cell>
          <cell r="AI31">
            <v>1</v>
          </cell>
          <cell r="AJ31">
            <v>100</v>
          </cell>
          <cell r="AK31">
            <v>12</v>
          </cell>
          <cell r="AM31">
            <v>0.6</v>
          </cell>
          <cell r="AN31">
            <v>1</v>
          </cell>
          <cell r="AO31">
            <v>100</v>
          </cell>
          <cell r="AP31">
            <v>1</v>
          </cell>
          <cell r="AR31">
            <v>0.75</v>
          </cell>
          <cell r="AS31">
            <v>1</v>
          </cell>
          <cell r="AT31">
            <v>100</v>
          </cell>
          <cell r="AU31">
            <v>12</v>
          </cell>
          <cell r="AX31">
            <v>25</v>
          </cell>
          <cell r="AY31">
            <v>0.6</v>
          </cell>
          <cell r="AZ31">
            <v>5.6</v>
          </cell>
          <cell r="BA31">
            <v>6</v>
          </cell>
          <cell r="BB31">
            <v>4</v>
          </cell>
          <cell r="BC31">
            <v>3</v>
          </cell>
          <cell r="BD31">
            <v>0.3</v>
          </cell>
          <cell r="BE31">
            <v>6</v>
          </cell>
          <cell r="BF31">
            <v>0.6</v>
          </cell>
        </row>
        <row r="32">
          <cell r="B32">
            <v>26</v>
          </cell>
          <cell r="C32" t="str">
            <v>Drs. AGUS UTOYO, MM</v>
          </cell>
          <cell r="D32">
            <v>0.9</v>
          </cell>
          <cell r="E32">
            <v>1</v>
          </cell>
          <cell r="F32">
            <v>100</v>
          </cell>
          <cell r="G32">
            <v>1</v>
          </cell>
          <cell r="I32">
            <v>6</v>
          </cell>
          <cell r="J32">
            <v>1</v>
          </cell>
          <cell r="K32">
            <v>100</v>
          </cell>
          <cell r="L32">
            <v>12</v>
          </cell>
          <cell r="N32">
            <v>9</v>
          </cell>
          <cell r="O32">
            <v>1</v>
          </cell>
          <cell r="P32">
            <v>100</v>
          </cell>
          <cell r="Q32">
            <v>12</v>
          </cell>
          <cell r="S32">
            <v>6</v>
          </cell>
          <cell r="T32">
            <v>1</v>
          </cell>
          <cell r="U32">
            <v>100</v>
          </cell>
          <cell r="V32">
            <v>12</v>
          </cell>
          <cell r="X32">
            <v>4.5</v>
          </cell>
          <cell r="Y32">
            <v>1</v>
          </cell>
          <cell r="Z32">
            <v>100</v>
          </cell>
          <cell r="AA32">
            <v>12</v>
          </cell>
          <cell r="AC32">
            <v>0.45</v>
          </cell>
          <cell r="AD32">
            <v>1</v>
          </cell>
          <cell r="AE32">
            <v>100</v>
          </cell>
          <cell r="AF32">
            <v>1</v>
          </cell>
          <cell r="AH32">
            <v>9</v>
          </cell>
          <cell r="AI32">
            <v>1</v>
          </cell>
          <cell r="AJ32">
            <v>100</v>
          </cell>
          <cell r="AK32">
            <v>12</v>
          </cell>
          <cell r="AM32">
            <v>0.9</v>
          </cell>
          <cell r="AN32">
            <v>1</v>
          </cell>
          <cell r="AO32">
            <v>100</v>
          </cell>
          <cell r="AP32">
            <v>1</v>
          </cell>
          <cell r="AR32">
            <v>0.75</v>
          </cell>
          <cell r="AS32">
            <v>1</v>
          </cell>
          <cell r="AT32">
            <v>100</v>
          </cell>
          <cell r="AU32">
            <v>12</v>
          </cell>
          <cell r="AX32">
            <v>26</v>
          </cell>
          <cell r="AY32">
            <v>0.9</v>
          </cell>
          <cell r="AZ32">
            <v>6</v>
          </cell>
          <cell r="BA32">
            <v>9</v>
          </cell>
          <cell r="BB32">
            <v>6</v>
          </cell>
          <cell r="BC32">
            <v>4.5</v>
          </cell>
          <cell r="BD32">
            <v>0.45</v>
          </cell>
          <cell r="BE32">
            <v>9</v>
          </cell>
          <cell r="BF32">
            <v>0.9</v>
          </cell>
        </row>
        <row r="33">
          <cell r="B33">
            <v>27</v>
          </cell>
          <cell r="C33" t="str">
            <v>MARWI, S.Pd.I</v>
          </cell>
          <cell r="D33">
            <v>0.9</v>
          </cell>
          <cell r="E33">
            <v>1</v>
          </cell>
          <cell r="F33">
            <v>100</v>
          </cell>
          <cell r="G33">
            <v>1</v>
          </cell>
          <cell r="I33">
            <v>6</v>
          </cell>
          <cell r="J33">
            <v>1</v>
          </cell>
          <cell r="K33">
            <v>100</v>
          </cell>
          <cell r="L33">
            <v>12</v>
          </cell>
          <cell r="N33">
            <v>9</v>
          </cell>
          <cell r="O33">
            <v>1</v>
          </cell>
          <cell r="P33">
            <v>100</v>
          </cell>
          <cell r="Q33">
            <v>12</v>
          </cell>
          <cell r="S33">
            <v>6</v>
          </cell>
          <cell r="T33">
            <v>1</v>
          </cell>
          <cell r="U33">
            <v>100</v>
          </cell>
          <cell r="V33">
            <v>12</v>
          </cell>
          <cell r="X33">
            <v>4.5</v>
          </cell>
          <cell r="Y33">
            <v>1</v>
          </cell>
          <cell r="Z33">
            <v>100</v>
          </cell>
          <cell r="AA33">
            <v>12</v>
          </cell>
          <cell r="AC33">
            <v>0.45</v>
          </cell>
          <cell r="AD33">
            <v>1</v>
          </cell>
          <cell r="AE33">
            <v>100</v>
          </cell>
          <cell r="AF33">
            <v>1</v>
          </cell>
          <cell r="AH33">
            <v>9</v>
          </cell>
          <cell r="AI33">
            <v>1</v>
          </cell>
          <cell r="AJ33">
            <v>100</v>
          </cell>
          <cell r="AK33">
            <v>12</v>
          </cell>
          <cell r="AM33">
            <v>0.9</v>
          </cell>
          <cell r="AN33">
            <v>1</v>
          </cell>
          <cell r="AO33">
            <v>100</v>
          </cell>
          <cell r="AP33">
            <v>1</v>
          </cell>
          <cell r="AR33">
            <v>0.75</v>
          </cell>
          <cell r="AS33">
            <v>1</v>
          </cell>
          <cell r="AT33">
            <v>100</v>
          </cell>
          <cell r="AU33">
            <v>12</v>
          </cell>
          <cell r="AX33">
            <v>27</v>
          </cell>
          <cell r="AY33">
            <v>0.9</v>
          </cell>
          <cell r="AZ33">
            <v>6</v>
          </cell>
          <cell r="BA33">
            <v>9</v>
          </cell>
          <cell r="BB33">
            <v>6</v>
          </cell>
          <cell r="BC33">
            <v>4.5</v>
          </cell>
          <cell r="BD33">
            <v>0.45</v>
          </cell>
          <cell r="BE33">
            <v>9</v>
          </cell>
          <cell r="BF33">
            <v>0.9</v>
          </cell>
        </row>
        <row r="34">
          <cell r="B34">
            <v>28</v>
          </cell>
          <cell r="C34" t="str">
            <v>SUHARTONO, S.Pd</v>
          </cell>
          <cell r="D34">
            <v>0.9</v>
          </cell>
          <cell r="E34">
            <v>1</v>
          </cell>
          <cell r="F34">
            <v>100</v>
          </cell>
          <cell r="G34">
            <v>1</v>
          </cell>
          <cell r="I34">
            <v>6</v>
          </cell>
          <cell r="J34">
            <v>1</v>
          </cell>
          <cell r="K34">
            <v>100</v>
          </cell>
          <cell r="L34">
            <v>12</v>
          </cell>
          <cell r="N34">
            <v>9</v>
          </cell>
          <cell r="O34">
            <v>1</v>
          </cell>
          <cell r="P34">
            <v>100</v>
          </cell>
          <cell r="Q34">
            <v>12</v>
          </cell>
          <cell r="S34">
            <v>6</v>
          </cell>
          <cell r="T34">
            <v>1</v>
          </cell>
          <cell r="U34">
            <v>100</v>
          </cell>
          <cell r="V34">
            <v>12</v>
          </cell>
          <cell r="X34">
            <v>4.5</v>
          </cell>
          <cell r="Y34">
            <v>1</v>
          </cell>
          <cell r="Z34">
            <v>100</v>
          </cell>
          <cell r="AA34">
            <v>12</v>
          </cell>
          <cell r="AC34">
            <v>0.45</v>
          </cell>
          <cell r="AD34">
            <v>1</v>
          </cell>
          <cell r="AE34">
            <v>100</v>
          </cell>
          <cell r="AF34">
            <v>1</v>
          </cell>
          <cell r="AH34">
            <v>9</v>
          </cell>
          <cell r="AI34">
            <v>1</v>
          </cell>
          <cell r="AJ34">
            <v>100</v>
          </cell>
          <cell r="AK34">
            <v>12</v>
          </cell>
          <cell r="AM34">
            <v>0.9</v>
          </cell>
          <cell r="AN34">
            <v>1</v>
          </cell>
          <cell r="AO34">
            <v>100</v>
          </cell>
          <cell r="AP34">
            <v>1</v>
          </cell>
          <cell r="AR34">
            <v>0.75</v>
          </cell>
          <cell r="AS34">
            <v>1</v>
          </cell>
          <cell r="AT34">
            <v>100</v>
          </cell>
          <cell r="AU34">
            <v>12</v>
          </cell>
          <cell r="AX34">
            <v>28</v>
          </cell>
          <cell r="AY34">
            <v>0.9</v>
          </cell>
          <cell r="AZ34">
            <v>6</v>
          </cell>
          <cell r="BA34">
            <v>9</v>
          </cell>
          <cell r="BB34">
            <v>6</v>
          </cell>
          <cell r="BC34">
            <v>4.5</v>
          </cell>
          <cell r="BD34">
            <v>0.45</v>
          </cell>
          <cell r="BE34">
            <v>9</v>
          </cell>
          <cell r="BF34">
            <v>0.9</v>
          </cell>
        </row>
        <row r="35">
          <cell r="B35">
            <v>29</v>
          </cell>
          <cell r="C35" t="str">
            <v>EUIS KURAISIN, M.Pd</v>
          </cell>
          <cell r="D35">
            <v>0.9</v>
          </cell>
          <cell r="E35">
            <v>1</v>
          </cell>
          <cell r="F35">
            <v>100</v>
          </cell>
          <cell r="G35">
            <v>1</v>
          </cell>
          <cell r="I35">
            <v>6</v>
          </cell>
          <cell r="J35">
            <v>1</v>
          </cell>
          <cell r="K35">
            <v>100</v>
          </cell>
          <cell r="L35">
            <v>12</v>
          </cell>
          <cell r="N35">
            <v>9</v>
          </cell>
          <cell r="O35">
            <v>1</v>
          </cell>
          <cell r="P35">
            <v>100</v>
          </cell>
          <cell r="Q35">
            <v>12</v>
          </cell>
          <cell r="S35">
            <v>6</v>
          </cell>
          <cell r="T35">
            <v>1</v>
          </cell>
          <cell r="U35">
            <v>100</v>
          </cell>
          <cell r="V35">
            <v>12</v>
          </cell>
          <cell r="X35">
            <v>4.5</v>
          </cell>
          <cell r="Y35">
            <v>1</v>
          </cell>
          <cell r="Z35">
            <v>100</v>
          </cell>
          <cell r="AA35">
            <v>12</v>
          </cell>
          <cell r="AC35">
            <v>0.45</v>
          </cell>
          <cell r="AD35">
            <v>1</v>
          </cell>
          <cell r="AE35">
            <v>100</v>
          </cell>
          <cell r="AF35">
            <v>1</v>
          </cell>
          <cell r="AH35">
            <v>9</v>
          </cell>
          <cell r="AI35">
            <v>1</v>
          </cell>
          <cell r="AJ35">
            <v>100</v>
          </cell>
          <cell r="AK35">
            <v>12</v>
          </cell>
          <cell r="AM35">
            <v>0.9</v>
          </cell>
          <cell r="AN35">
            <v>1</v>
          </cell>
          <cell r="AO35">
            <v>100</v>
          </cell>
          <cell r="AP35">
            <v>1</v>
          </cell>
          <cell r="AR35">
            <v>0.75</v>
          </cell>
          <cell r="AS35">
            <v>1</v>
          </cell>
          <cell r="AT35">
            <v>100</v>
          </cell>
          <cell r="AU35">
            <v>12</v>
          </cell>
          <cell r="AX35">
            <v>29</v>
          </cell>
          <cell r="AY35">
            <v>0.9</v>
          </cell>
          <cell r="AZ35">
            <v>6</v>
          </cell>
          <cell r="BA35">
            <v>9</v>
          </cell>
          <cell r="BB35">
            <v>6</v>
          </cell>
          <cell r="BC35">
            <v>4.5</v>
          </cell>
          <cell r="BD35">
            <v>0.45</v>
          </cell>
          <cell r="BE35">
            <v>9</v>
          </cell>
          <cell r="BF35">
            <v>0.9</v>
          </cell>
        </row>
        <row r="36">
          <cell r="B36">
            <v>30</v>
          </cell>
          <cell r="C36" t="str">
            <v>Dra. Hj. NUROZIAH</v>
          </cell>
          <cell r="D36">
            <v>0.9</v>
          </cell>
          <cell r="E36">
            <v>1</v>
          </cell>
          <cell r="F36">
            <v>100</v>
          </cell>
          <cell r="G36">
            <v>1</v>
          </cell>
          <cell r="I36">
            <v>6</v>
          </cell>
          <cell r="J36">
            <v>1</v>
          </cell>
          <cell r="K36">
            <v>100</v>
          </cell>
          <cell r="L36">
            <v>12</v>
          </cell>
          <cell r="N36">
            <v>9</v>
          </cell>
          <cell r="O36">
            <v>1</v>
          </cell>
          <cell r="P36">
            <v>100</v>
          </cell>
          <cell r="Q36">
            <v>12</v>
          </cell>
          <cell r="S36">
            <v>6</v>
          </cell>
          <cell r="T36">
            <v>1</v>
          </cell>
          <cell r="U36">
            <v>100</v>
          </cell>
          <cell r="V36">
            <v>12</v>
          </cell>
          <cell r="X36">
            <v>4.5</v>
          </cell>
          <cell r="Y36">
            <v>1</v>
          </cell>
          <cell r="Z36">
            <v>100</v>
          </cell>
          <cell r="AA36">
            <v>12</v>
          </cell>
          <cell r="AC36">
            <v>0.45</v>
          </cell>
          <cell r="AD36">
            <v>1</v>
          </cell>
          <cell r="AE36">
            <v>100</v>
          </cell>
          <cell r="AF36">
            <v>1</v>
          </cell>
          <cell r="AH36">
            <v>9</v>
          </cell>
          <cell r="AI36">
            <v>1</v>
          </cell>
          <cell r="AJ36">
            <v>100</v>
          </cell>
          <cell r="AK36">
            <v>12</v>
          </cell>
          <cell r="AM36">
            <v>0.9</v>
          </cell>
          <cell r="AN36">
            <v>1</v>
          </cell>
          <cell r="AO36">
            <v>100</v>
          </cell>
          <cell r="AP36">
            <v>1</v>
          </cell>
          <cell r="AR36">
            <v>0.75</v>
          </cell>
          <cell r="AS36">
            <v>1</v>
          </cell>
          <cell r="AT36">
            <v>100</v>
          </cell>
          <cell r="AU36">
            <v>12</v>
          </cell>
          <cell r="AX36">
            <v>30</v>
          </cell>
          <cell r="AY36">
            <v>0.9</v>
          </cell>
          <cell r="AZ36">
            <v>6</v>
          </cell>
          <cell r="BA36">
            <v>9</v>
          </cell>
          <cell r="BB36">
            <v>6</v>
          </cell>
          <cell r="BC36">
            <v>4.5</v>
          </cell>
          <cell r="BD36">
            <v>0.45</v>
          </cell>
          <cell r="BE36">
            <v>9</v>
          </cell>
          <cell r="BF36">
            <v>0.9</v>
          </cell>
        </row>
        <row r="37">
          <cell r="B37" t="str">
            <v/>
          </cell>
          <cell r="C37" t="str">
            <v/>
          </cell>
          <cell r="D37" t="str">
            <v/>
          </cell>
          <cell r="I37" t="str">
            <v/>
          </cell>
          <cell r="N37" t="str">
            <v/>
          </cell>
          <cell r="S37" t="str">
            <v/>
          </cell>
          <cell r="X37" t="str">
            <v/>
          </cell>
          <cell r="AC37" t="str">
            <v/>
          </cell>
          <cell r="AH37" t="str">
            <v/>
          </cell>
          <cell r="AM37" t="str">
            <v/>
          </cell>
          <cell r="AR37" t="str">
            <v/>
          </cell>
          <cell r="AX37">
            <v>31</v>
          </cell>
          <cell r="AY37" t="str">
            <v/>
          </cell>
          <cell r="AZ37" t="str">
            <v/>
          </cell>
          <cell r="BA37" t="str">
            <v/>
          </cell>
          <cell r="BB37" t="str">
            <v/>
          </cell>
          <cell r="BC37" t="str">
            <v/>
          </cell>
          <cell r="BD37" t="str">
            <v/>
          </cell>
          <cell r="BE37" t="str">
            <v/>
          </cell>
          <cell r="BF37" t="str">
            <v/>
          </cell>
        </row>
        <row r="38">
          <cell r="B38" t="str">
            <v/>
          </cell>
          <cell r="C38" t="str">
            <v/>
          </cell>
          <cell r="D38" t="str">
            <v/>
          </cell>
          <cell r="I38" t="str">
            <v/>
          </cell>
          <cell r="N38" t="str">
            <v/>
          </cell>
          <cell r="S38" t="str">
            <v/>
          </cell>
          <cell r="X38" t="str">
            <v/>
          </cell>
          <cell r="AC38" t="str">
            <v/>
          </cell>
          <cell r="AH38" t="str">
            <v/>
          </cell>
          <cell r="AM38" t="str">
            <v/>
          </cell>
          <cell r="AR38" t="str">
            <v/>
          </cell>
          <cell r="AX38" t="str">
            <v/>
          </cell>
          <cell r="AY38" t="str">
            <v/>
          </cell>
          <cell r="AZ38" t="str">
            <v/>
          </cell>
          <cell r="BA38" t="str">
            <v/>
          </cell>
          <cell r="BB38" t="str">
            <v/>
          </cell>
          <cell r="BC38" t="str">
            <v/>
          </cell>
          <cell r="BD38" t="str">
            <v/>
          </cell>
          <cell r="BE38" t="str">
            <v/>
          </cell>
          <cell r="BF38" t="str">
            <v/>
          </cell>
        </row>
        <row r="39">
          <cell r="B39" t="str">
            <v/>
          </cell>
          <cell r="C39" t="str">
            <v/>
          </cell>
          <cell r="D39" t="str">
            <v/>
          </cell>
          <cell r="I39" t="str">
            <v/>
          </cell>
          <cell r="N39" t="str">
            <v/>
          </cell>
          <cell r="S39" t="str">
            <v/>
          </cell>
          <cell r="X39" t="str">
            <v/>
          </cell>
          <cell r="AC39" t="str">
            <v/>
          </cell>
          <cell r="AH39" t="str">
            <v/>
          </cell>
          <cell r="AM39" t="str">
            <v/>
          </cell>
          <cell r="AR39" t="str">
            <v/>
          </cell>
          <cell r="AX39" t="str">
            <v/>
          </cell>
          <cell r="AY39" t="str">
            <v/>
          </cell>
          <cell r="AZ39" t="str">
            <v/>
          </cell>
          <cell r="BA39" t="str">
            <v/>
          </cell>
          <cell r="BB39" t="str">
            <v/>
          </cell>
          <cell r="BC39" t="str">
            <v/>
          </cell>
          <cell r="BD39" t="str">
            <v/>
          </cell>
          <cell r="BE39" t="str">
            <v/>
          </cell>
          <cell r="BF39" t="str">
            <v/>
          </cell>
        </row>
        <row r="40">
          <cell r="B40" t="str">
            <v/>
          </cell>
          <cell r="C40" t="str">
            <v/>
          </cell>
          <cell r="D40" t="str">
            <v/>
          </cell>
          <cell r="I40" t="str">
            <v/>
          </cell>
          <cell r="N40" t="str">
            <v/>
          </cell>
          <cell r="S40" t="str">
            <v/>
          </cell>
          <cell r="X40" t="str">
            <v/>
          </cell>
          <cell r="AC40" t="str">
            <v/>
          </cell>
          <cell r="AH40" t="str">
            <v/>
          </cell>
          <cell r="AM40" t="str">
            <v/>
          </cell>
          <cell r="AR40" t="str">
            <v/>
          </cell>
          <cell r="AX40" t="str">
            <v/>
          </cell>
          <cell r="AY40" t="str">
            <v/>
          </cell>
          <cell r="AZ40" t="str">
            <v/>
          </cell>
          <cell r="BA40" t="str">
            <v/>
          </cell>
          <cell r="BB40" t="str">
            <v/>
          </cell>
          <cell r="BC40" t="str">
            <v/>
          </cell>
          <cell r="BD40" t="str">
            <v/>
          </cell>
          <cell r="BE40" t="str">
            <v/>
          </cell>
          <cell r="BF40" t="str">
            <v/>
          </cell>
        </row>
        <row r="41">
          <cell r="B41" t="str">
            <v/>
          </cell>
          <cell r="C41" t="str">
            <v/>
          </cell>
          <cell r="D41" t="str">
            <v/>
          </cell>
          <cell r="I41" t="str">
            <v/>
          </cell>
          <cell r="N41" t="str">
            <v/>
          </cell>
          <cell r="S41" t="str">
            <v/>
          </cell>
          <cell r="X41" t="str">
            <v/>
          </cell>
          <cell r="AC41" t="str">
            <v/>
          </cell>
          <cell r="AH41" t="str">
            <v/>
          </cell>
          <cell r="AM41" t="str">
            <v/>
          </cell>
          <cell r="AR41" t="str">
            <v/>
          </cell>
          <cell r="AX41" t="str">
            <v/>
          </cell>
          <cell r="AY41" t="str">
            <v/>
          </cell>
          <cell r="AZ41" t="str">
            <v/>
          </cell>
          <cell r="BA41" t="str">
            <v/>
          </cell>
          <cell r="BB41" t="str">
            <v/>
          </cell>
          <cell r="BC41" t="str">
            <v/>
          </cell>
          <cell r="BD41" t="str">
            <v/>
          </cell>
          <cell r="BE41" t="str">
            <v/>
          </cell>
          <cell r="BF41" t="str">
            <v/>
          </cell>
        </row>
        <row r="42">
          <cell r="B42" t="str">
            <v/>
          </cell>
          <cell r="C42" t="str">
            <v/>
          </cell>
          <cell r="D42" t="str">
            <v/>
          </cell>
          <cell r="I42" t="str">
            <v/>
          </cell>
          <cell r="N42" t="str">
            <v/>
          </cell>
          <cell r="S42" t="str">
            <v/>
          </cell>
          <cell r="X42" t="str">
            <v/>
          </cell>
          <cell r="AC42" t="str">
            <v/>
          </cell>
          <cell r="AH42" t="str">
            <v/>
          </cell>
          <cell r="AM42" t="str">
            <v/>
          </cell>
          <cell r="AR42" t="str">
            <v/>
          </cell>
          <cell r="AX42" t="str">
            <v/>
          </cell>
          <cell r="AY42" t="str">
            <v/>
          </cell>
          <cell r="AZ42" t="str">
            <v/>
          </cell>
          <cell r="BA42" t="str">
            <v/>
          </cell>
          <cell r="BB42" t="str">
            <v/>
          </cell>
          <cell r="BC42" t="str">
            <v/>
          </cell>
          <cell r="BD42" t="str">
            <v/>
          </cell>
          <cell r="BE42" t="str">
            <v/>
          </cell>
          <cell r="BF42" t="str">
            <v/>
          </cell>
        </row>
        <row r="43">
          <cell r="B43" t="str">
            <v/>
          </cell>
          <cell r="C43" t="str">
            <v/>
          </cell>
          <cell r="D43" t="str">
            <v/>
          </cell>
          <cell r="I43" t="str">
            <v/>
          </cell>
          <cell r="N43" t="str">
            <v/>
          </cell>
          <cell r="S43" t="str">
            <v/>
          </cell>
          <cell r="X43" t="str">
            <v/>
          </cell>
          <cell r="AC43" t="str">
            <v/>
          </cell>
          <cell r="AH43" t="str">
            <v/>
          </cell>
          <cell r="AM43" t="str">
            <v/>
          </cell>
          <cell r="AR43" t="str">
            <v/>
          </cell>
          <cell r="AX43" t="str">
            <v/>
          </cell>
          <cell r="AY43" t="str">
            <v/>
          </cell>
          <cell r="AZ43" t="str">
            <v/>
          </cell>
          <cell r="BA43" t="str">
            <v/>
          </cell>
          <cell r="BB43" t="str">
            <v/>
          </cell>
          <cell r="BC43" t="str">
            <v/>
          </cell>
          <cell r="BD43" t="str">
            <v/>
          </cell>
          <cell r="BE43" t="str">
            <v/>
          </cell>
          <cell r="BF43" t="str">
            <v/>
          </cell>
        </row>
        <row r="44">
          <cell r="B44" t="str">
            <v/>
          </cell>
          <cell r="C44" t="str">
            <v/>
          </cell>
          <cell r="D44" t="str">
            <v/>
          </cell>
          <cell r="I44" t="str">
            <v/>
          </cell>
          <cell r="N44" t="str">
            <v/>
          </cell>
          <cell r="S44" t="str">
            <v/>
          </cell>
          <cell r="X44" t="str">
            <v/>
          </cell>
          <cell r="AC44" t="str">
            <v/>
          </cell>
          <cell r="AH44" t="str">
            <v/>
          </cell>
          <cell r="AM44" t="str">
            <v/>
          </cell>
          <cell r="AR44" t="str">
            <v/>
          </cell>
          <cell r="AX44" t="str">
            <v/>
          </cell>
          <cell r="AY44" t="str">
            <v/>
          </cell>
          <cell r="AZ44" t="str">
            <v/>
          </cell>
          <cell r="BA44" t="str">
            <v/>
          </cell>
          <cell r="BB44" t="str">
            <v/>
          </cell>
          <cell r="BC44" t="str">
            <v/>
          </cell>
          <cell r="BD44" t="str">
            <v/>
          </cell>
          <cell r="BE44" t="str">
            <v/>
          </cell>
          <cell r="BF44" t="str">
            <v/>
          </cell>
        </row>
        <row r="45">
          <cell r="B45" t="str">
            <v/>
          </cell>
          <cell r="C45" t="str">
            <v/>
          </cell>
          <cell r="D45" t="str">
            <v/>
          </cell>
          <cell r="I45" t="str">
            <v/>
          </cell>
          <cell r="N45" t="str">
            <v/>
          </cell>
          <cell r="S45" t="str">
            <v/>
          </cell>
          <cell r="X45" t="str">
            <v/>
          </cell>
          <cell r="AC45" t="str">
            <v/>
          </cell>
          <cell r="AH45" t="str">
            <v/>
          </cell>
          <cell r="AM45" t="str">
            <v/>
          </cell>
          <cell r="AR45" t="str">
            <v/>
          </cell>
          <cell r="AX45" t="str">
            <v/>
          </cell>
          <cell r="AY45" t="str">
            <v/>
          </cell>
          <cell r="AZ45" t="str">
            <v/>
          </cell>
          <cell r="BA45" t="str">
            <v/>
          </cell>
          <cell r="BB45" t="str">
            <v/>
          </cell>
          <cell r="BC45" t="str">
            <v/>
          </cell>
          <cell r="BD45" t="str">
            <v/>
          </cell>
          <cell r="BE45" t="str">
            <v/>
          </cell>
          <cell r="BF45" t="str">
            <v/>
          </cell>
        </row>
        <row r="46">
          <cell r="B46" t="str">
            <v/>
          </cell>
          <cell r="C46" t="str">
            <v/>
          </cell>
          <cell r="D46" t="str">
            <v/>
          </cell>
          <cell r="I46" t="str">
            <v/>
          </cell>
          <cell r="N46" t="str">
            <v/>
          </cell>
          <cell r="S46" t="str">
            <v/>
          </cell>
          <cell r="X46" t="str">
            <v/>
          </cell>
          <cell r="AC46" t="str">
            <v/>
          </cell>
          <cell r="AH46" t="str">
            <v/>
          </cell>
          <cell r="AM46" t="str">
            <v/>
          </cell>
          <cell r="AR46" t="str">
            <v/>
          </cell>
          <cell r="AX46" t="str">
            <v/>
          </cell>
          <cell r="AY46" t="str">
            <v/>
          </cell>
          <cell r="AZ46" t="str">
            <v/>
          </cell>
          <cell r="BA46" t="str">
            <v/>
          </cell>
          <cell r="BB46" t="str">
            <v/>
          </cell>
          <cell r="BC46" t="str">
            <v/>
          </cell>
          <cell r="BD46" t="str">
            <v/>
          </cell>
          <cell r="BE46" t="str">
            <v/>
          </cell>
          <cell r="BF46" t="str">
            <v/>
          </cell>
        </row>
        <row r="47">
          <cell r="B47" t="str">
            <v/>
          </cell>
          <cell r="C47" t="str">
            <v/>
          </cell>
          <cell r="D47" t="str">
            <v/>
          </cell>
          <cell r="I47" t="str">
            <v/>
          </cell>
          <cell r="N47" t="str">
            <v/>
          </cell>
          <cell r="S47" t="str">
            <v/>
          </cell>
          <cell r="X47" t="str">
            <v/>
          </cell>
          <cell r="AC47" t="str">
            <v/>
          </cell>
          <cell r="AH47" t="str">
            <v/>
          </cell>
          <cell r="AM47" t="str">
            <v/>
          </cell>
          <cell r="AR47" t="str">
            <v/>
          </cell>
          <cell r="AX47" t="str">
            <v/>
          </cell>
          <cell r="AY47" t="str">
            <v/>
          </cell>
          <cell r="AZ47" t="str">
            <v/>
          </cell>
          <cell r="BA47" t="str">
            <v/>
          </cell>
          <cell r="BB47" t="str">
            <v/>
          </cell>
          <cell r="BC47" t="str">
            <v/>
          </cell>
          <cell r="BD47" t="str">
            <v/>
          </cell>
          <cell r="BE47" t="str">
            <v/>
          </cell>
          <cell r="BF47" t="str">
            <v/>
          </cell>
        </row>
        <row r="48">
          <cell r="B48" t="str">
            <v/>
          </cell>
          <cell r="C48" t="str">
            <v/>
          </cell>
          <cell r="D48" t="str">
            <v/>
          </cell>
          <cell r="I48" t="str">
            <v/>
          </cell>
          <cell r="N48" t="str">
            <v/>
          </cell>
          <cell r="S48" t="str">
            <v/>
          </cell>
          <cell r="X48" t="str">
            <v/>
          </cell>
          <cell r="AC48" t="str">
            <v/>
          </cell>
          <cell r="AH48" t="str">
            <v/>
          </cell>
          <cell r="AM48" t="str">
            <v/>
          </cell>
          <cell r="AR48" t="str">
            <v/>
          </cell>
          <cell r="AX48" t="str">
            <v/>
          </cell>
          <cell r="AY48" t="str">
            <v/>
          </cell>
          <cell r="AZ48" t="str">
            <v/>
          </cell>
          <cell r="BA48" t="str">
            <v/>
          </cell>
          <cell r="BB48" t="str">
            <v/>
          </cell>
          <cell r="BC48" t="str">
            <v/>
          </cell>
          <cell r="BD48" t="str">
            <v/>
          </cell>
          <cell r="BE48" t="str">
            <v/>
          </cell>
          <cell r="BF48" t="str">
            <v/>
          </cell>
        </row>
        <row r="49">
          <cell r="B49" t="str">
            <v/>
          </cell>
          <cell r="C49" t="str">
            <v/>
          </cell>
          <cell r="D49" t="str">
            <v/>
          </cell>
          <cell r="I49" t="str">
            <v/>
          </cell>
          <cell r="N49" t="str">
            <v/>
          </cell>
          <cell r="S49" t="str">
            <v/>
          </cell>
          <cell r="X49" t="str">
            <v/>
          </cell>
          <cell r="AC49" t="str">
            <v/>
          </cell>
          <cell r="AH49" t="str">
            <v/>
          </cell>
          <cell r="AM49" t="str">
            <v/>
          </cell>
          <cell r="AR49" t="str">
            <v/>
          </cell>
          <cell r="AX49" t="str">
            <v/>
          </cell>
          <cell r="AY49" t="str">
            <v/>
          </cell>
          <cell r="AZ49" t="str">
            <v/>
          </cell>
          <cell r="BA49" t="str">
            <v/>
          </cell>
          <cell r="BB49" t="str">
            <v/>
          </cell>
          <cell r="BC49" t="str">
            <v/>
          </cell>
          <cell r="BD49" t="str">
            <v/>
          </cell>
          <cell r="BE49" t="str">
            <v/>
          </cell>
          <cell r="BF49" t="str">
            <v/>
          </cell>
        </row>
        <row r="50">
          <cell r="B50" t="str">
            <v/>
          </cell>
          <cell r="C50" t="str">
            <v/>
          </cell>
          <cell r="D50" t="str">
            <v/>
          </cell>
          <cell r="I50" t="str">
            <v/>
          </cell>
          <cell r="N50" t="str">
            <v/>
          </cell>
          <cell r="S50" t="str">
            <v/>
          </cell>
          <cell r="X50" t="str">
            <v/>
          </cell>
          <cell r="AC50" t="str">
            <v/>
          </cell>
          <cell r="AH50" t="str">
            <v/>
          </cell>
          <cell r="AM50" t="str">
            <v/>
          </cell>
          <cell r="AR50" t="str">
            <v/>
          </cell>
          <cell r="AX50" t="str">
            <v/>
          </cell>
          <cell r="AY50" t="str">
            <v/>
          </cell>
          <cell r="AZ50" t="str">
            <v/>
          </cell>
          <cell r="BA50" t="str">
            <v/>
          </cell>
          <cell r="BB50" t="str">
            <v/>
          </cell>
          <cell r="BC50" t="str">
            <v/>
          </cell>
          <cell r="BD50" t="str">
            <v/>
          </cell>
          <cell r="BE50" t="str">
            <v/>
          </cell>
          <cell r="BF50" t="str">
            <v/>
          </cell>
        </row>
        <row r="51">
          <cell r="B51" t="str">
            <v/>
          </cell>
          <cell r="C51" t="str">
            <v/>
          </cell>
          <cell r="D51" t="str">
            <v/>
          </cell>
          <cell r="I51" t="str">
            <v/>
          </cell>
          <cell r="N51" t="str">
            <v/>
          </cell>
          <cell r="S51" t="str">
            <v/>
          </cell>
          <cell r="X51" t="str">
            <v/>
          </cell>
          <cell r="AC51" t="str">
            <v/>
          </cell>
          <cell r="AH51" t="str">
            <v/>
          </cell>
          <cell r="AM51" t="str">
            <v/>
          </cell>
          <cell r="AR51" t="str">
            <v/>
          </cell>
          <cell r="AX51" t="str">
            <v/>
          </cell>
          <cell r="AY51" t="str">
            <v/>
          </cell>
          <cell r="AZ51" t="str">
            <v/>
          </cell>
          <cell r="BA51" t="str">
            <v/>
          </cell>
          <cell r="BB51" t="str">
            <v/>
          </cell>
          <cell r="BC51" t="str">
            <v/>
          </cell>
          <cell r="BD51" t="str">
            <v/>
          </cell>
          <cell r="BE51" t="str">
            <v/>
          </cell>
          <cell r="BF51" t="str">
            <v/>
          </cell>
        </row>
        <row r="52">
          <cell r="B52" t="str">
            <v/>
          </cell>
          <cell r="C52" t="str">
            <v/>
          </cell>
          <cell r="D52" t="str">
            <v/>
          </cell>
          <cell r="I52" t="str">
            <v/>
          </cell>
          <cell r="N52" t="str">
            <v/>
          </cell>
          <cell r="S52" t="str">
            <v/>
          </cell>
          <cell r="X52" t="str">
            <v/>
          </cell>
          <cell r="AC52" t="str">
            <v/>
          </cell>
          <cell r="AH52" t="str">
            <v/>
          </cell>
          <cell r="AM52" t="str">
            <v/>
          </cell>
          <cell r="AR52" t="str">
            <v/>
          </cell>
          <cell r="AX52" t="str">
            <v/>
          </cell>
          <cell r="AY52" t="str">
            <v/>
          </cell>
          <cell r="AZ52" t="str">
            <v/>
          </cell>
          <cell r="BA52" t="str">
            <v/>
          </cell>
          <cell r="BB52" t="str">
            <v/>
          </cell>
          <cell r="BC52" t="str">
            <v/>
          </cell>
          <cell r="BD52" t="str">
            <v/>
          </cell>
          <cell r="BE52" t="str">
            <v/>
          </cell>
          <cell r="BF52" t="str">
            <v/>
          </cell>
        </row>
        <row r="53">
          <cell r="B53" t="str">
            <v/>
          </cell>
          <cell r="C53" t="str">
            <v/>
          </cell>
          <cell r="D53" t="str">
            <v/>
          </cell>
          <cell r="I53" t="str">
            <v/>
          </cell>
          <cell r="N53" t="str">
            <v/>
          </cell>
          <cell r="S53" t="str">
            <v/>
          </cell>
          <cell r="X53" t="str">
            <v/>
          </cell>
          <cell r="AC53" t="str">
            <v/>
          </cell>
          <cell r="AH53" t="str">
            <v/>
          </cell>
          <cell r="AM53" t="str">
            <v/>
          </cell>
          <cell r="AR53" t="str">
            <v/>
          </cell>
          <cell r="AX53" t="str">
            <v/>
          </cell>
          <cell r="AY53" t="str">
            <v/>
          </cell>
          <cell r="AZ53" t="str">
            <v/>
          </cell>
          <cell r="BA53" t="str">
            <v/>
          </cell>
          <cell r="BB53" t="str">
            <v/>
          </cell>
          <cell r="BC53" t="str">
            <v/>
          </cell>
          <cell r="BD53" t="str">
            <v/>
          </cell>
          <cell r="BE53" t="str">
            <v/>
          </cell>
          <cell r="BF53" t="str">
            <v/>
          </cell>
        </row>
        <row r="54">
          <cell r="B54" t="str">
            <v/>
          </cell>
          <cell r="C54" t="str">
            <v/>
          </cell>
          <cell r="D54" t="str">
            <v/>
          </cell>
          <cell r="I54" t="str">
            <v/>
          </cell>
          <cell r="N54" t="str">
            <v/>
          </cell>
          <cell r="S54" t="str">
            <v/>
          </cell>
          <cell r="X54" t="str">
            <v/>
          </cell>
          <cell r="AC54" t="str">
            <v/>
          </cell>
          <cell r="AH54" t="str">
            <v/>
          </cell>
          <cell r="AM54" t="str">
            <v/>
          </cell>
          <cell r="AR54" t="str">
            <v/>
          </cell>
          <cell r="AX54" t="str">
            <v/>
          </cell>
          <cell r="AY54" t="str">
            <v/>
          </cell>
          <cell r="AZ54" t="str">
            <v/>
          </cell>
          <cell r="BA54" t="str">
            <v/>
          </cell>
          <cell r="BB54" t="str">
            <v/>
          </cell>
          <cell r="BC54" t="str">
            <v/>
          </cell>
          <cell r="BD54" t="str">
            <v/>
          </cell>
          <cell r="BE54" t="str">
            <v/>
          </cell>
          <cell r="BF54" t="str">
            <v/>
          </cell>
        </row>
        <row r="55">
          <cell r="B55" t="str">
            <v/>
          </cell>
          <cell r="C55" t="str">
            <v/>
          </cell>
          <cell r="D55" t="str">
            <v/>
          </cell>
          <cell r="I55" t="str">
            <v/>
          </cell>
          <cell r="N55" t="str">
            <v/>
          </cell>
          <cell r="S55" t="str">
            <v/>
          </cell>
          <cell r="X55" t="str">
            <v/>
          </cell>
          <cell r="AC55" t="str">
            <v/>
          </cell>
          <cell r="AH55" t="str">
            <v/>
          </cell>
          <cell r="AM55" t="str">
            <v/>
          </cell>
          <cell r="AR55" t="str">
            <v/>
          </cell>
          <cell r="AX55" t="str">
            <v/>
          </cell>
          <cell r="AY55" t="str">
            <v/>
          </cell>
          <cell r="AZ55" t="str">
            <v/>
          </cell>
          <cell r="BA55" t="str">
            <v/>
          </cell>
          <cell r="BB55" t="str">
            <v/>
          </cell>
          <cell r="BC55" t="str">
            <v/>
          </cell>
          <cell r="BD55" t="str">
            <v/>
          </cell>
          <cell r="BE55" t="str">
            <v/>
          </cell>
          <cell r="BF55" t="str">
            <v/>
          </cell>
        </row>
        <row r="56">
          <cell r="B56" t="str">
            <v/>
          </cell>
          <cell r="C56" t="str">
            <v/>
          </cell>
          <cell r="D56" t="str">
            <v/>
          </cell>
          <cell r="I56" t="str">
            <v/>
          </cell>
          <cell r="N56" t="str">
            <v/>
          </cell>
          <cell r="S56" t="str">
            <v/>
          </cell>
          <cell r="X56" t="str">
            <v/>
          </cell>
          <cell r="AC56" t="str">
            <v/>
          </cell>
          <cell r="AH56" t="str">
            <v/>
          </cell>
          <cell r="AM56" t="str">
            <v/>
          </cell>
          <cell r="AR56" t="str">
            <v/>
          </cell>
          <cell r="AX56" t="str">
            <v/>
          </cell>
          <cell r="AY56" t="str">
            <v/>
          </cell>
          <cell r="AZ56" t="str">
            <v/>
          </cell>
          <cell r="BA56" t="str">
            <v/>
          </cell>
          <cell r="BB56" t="str">
            <v/>
          </cell>
          <cell r="BC56" t="str">
            <v/>
          </cell>
          <cell r="BD56" t="str">
            <v/>
          </cell>
          <cell r="BE56" t="str">
            <v/>
          </cell>
          <cell r="BF56" t="str">
            <v/>
          </cell>
        </row>
        <row r="57">
          <cell r="B57" t="str">
            <v/>
          </cell>
          <cell r="C57" t="str">
            <v/>
          </cell>
          <cell r="D57" t="str">
            <v/>
          </cell>
          <cell r="I57" t="str">
            <v/>
          </cell>
          <cell r="N57" t="str">
            <v/>
          </cell>
          <cell r="S57" t="str">
            <v/>
          </cell>
          <cell r="X57" t="str">
            <v/>
          </cell>
          <cell r="AC57" t="str">
            <v/>
          </cell>
          <cell r="AH57" t="str">
            <v/>
          </cell>
          <cell r="AM57" t="str">
            <v/>
          </cell>
          <cell r="AR57" t="str">
            <v/>
          </cell>
          <cell r="AX57" t="str">
            <v/>
          </cell>
          <cell r="AY57" t="str">
            <v/>
          </cell>
          <cell r="AZ57" t="str">
            <v/>
          </cell>
          <cell r="BA57" t="str">
            <v/>
          </cell>
          <cell r="BB57" t="str">
            <v/>
          </cell>
          <cell r="BC57" t="str">
            <v/>
          </cell>
          <cell r="BD57" t="str">
            <v/>
          </cell>
          <cell r="BE57" t="str">
            <v/>
          </cell>
          <cell r="BF57" t="str">
            <v/>
          </cell>
        </row>
        <row r="58">
          <cell r="B58" t="str">
            <v/>
          </cell>
          <cell r="C58" t="str">
            <v/>
          </cell>
          <cell r="D58" t="str">
            <v/>
          </cell>
          <cell r="I58" t="str">
            <v/>
          </cell>
          <cell r="N58" t="str">
            <v/>
          </cell>
          <cell r="S58" t="str">
            <v/>
          </cell>
          <cell r="X58" t="str">
            <v/>
          </cell>
          <cell r="AC58" t="str">
            <v/>
          </cell>
          <cell r="AH58" t="str">
            <v/>
          </cell>
          <cell r="AM58" t="str">
            <v/>
          </cell>
          <cell r="AR58" t="str">
            <v/>
          </cell>
          <cell r="AX58" t="str">
            <v/>
          </cell>
          <cell r="AY58" t="str">
            <v/>
          </cell>
          <cell r="AZ58" t="str">
            <v/>
          </cell>
          <cell r="BA58" t="str">
            <v/>
          </cell>
          <cell r="BB58" t="str">
            <v/>
          </cell>
          <cell r="BC58" t="str">
            <v/>
          </cell>
          <cell r="BD58" t="str">
            <v/>
          </cell>
          <cell r="BE58" t="str">
            <v/>
          </cell>
          <cell r="BF58" t="str">
            <v/>
          </cell>
        </row>
        <row r="59">
          <cell r="B59" t="str">
            <v/>
          </cell>
          <cell r="C59" t="str">
            <v/>
          </cell>
          <cell r="D59" t="str">
            <v/>
          </cell>
          <cell r="I59" t="str">
            <v/>
          </cell>
          <cell r="N59" t="str">
            <v/>
          </cell>
          <cell r="S59" t="str">
            <v/>
          </cell>
          <cell r="X59" t="str">
            <v/>
          </cell>
          <cell r="AC59" t="str">
            <v/>
          </cell>
          <cell r="AH59" t="str">
            <v/>
          </cell>
          <cell r="AM59" t="str">
            <v/>
          </cell>
          <cell r="AR59" t="str">
            <v/>
          </cell>
          <cell r="AX59" t="str">
            <v/>
          </cell>
          <cell r="AY59" t="str">
            <v/>
          </cell>
          <cell r="AZ59" t="str">
            <v/>
          </cell>
          <cell r="BA59" t="str">
            <v/>
          </cell>
          <cell r="BB59" t="str">
            <v/>
          </cell>
          <cell r="BC59" t="str">
            <v/>
          </cell>
          <cell r="BD59" t="str">
            <v/>
          </cell>
          <cell r="BE59" t="str">
            <v/>
          </cell>
          <cell r="BF59" t="str">
            <v/>
          </cell>
        </row>
        <row r="60">
          <cell r="B60" t="str">
            <v/>
          </cell>
          <cell r="C60" t="str">
            <v/>
          </cell>
          <cell r="D60" t="str">
            <v/>
          </cell>
          <cell r="I60" t="str">
            <v/>
          </cell>
          <cell r="N60" t="str">
            <v/>
          </cell>
          <cell r="S60" t="str">
            <v/>
          </cell>
          <cell r="X60" t="str">
            <v/>
          </cell>
          <cell r="AC60" t="str">
            <v/>
          </cell>
          <cell r="AH60" t="str">
            <v/>
          </cell>
          <cell r="AM60" t="str">
            <v/>
          </cell>
          <cell r="AR60" t="str">
            <v/>
          </cell>
          <cell r="AX60" t="str">
            <v/>
          </cell>
          <cell r="AY60" t="str">
            <v/>
          </cell>
          <cell r="AZ60" t="str">
            <v/>
          </cell>
          <cell r="BA60" t="str">
            <v/>
          </cell>
          <cell r="BB60" t="str">
            <v/>
          </cell>
          <cell r="BC60" t="str">
            <v/>
          </cell>
          <cell r="BD60" t="str">
            <v/>
          </cell>
          <cell r="BE60" t="str">
            <v/>
          </cell>
          <cell r="BF60" t="str">
            <v/>
          </cell>
        </row>
        <row r="61">
          <cell r="B61" t="str">
            <v/>
          </cell>
          <cell r="C61" t="str">
            <v/>
          </cell>
          <cell r="D61" t="str">
            <v/>
          </cell>
          <cell r="I61" t="str">
            <v/>
          </cell>
          <cell r="N61" t="str">
            <v/>
          </cell>
          <cell r="S61" t="str">
            <v/>
          </cell>
          <cell r="X61" t="str">
            <v/>
          </cell>
          <cell r="AC61" t="str">
            <v/>
          </cell>
          <cell r="AH61" t="str">
            <v/>
          </cell>
          <cell r="AM61" t="str">
            <v/>
          </cell>
          <cell r="AR61" t="str">
            <v/>
          </cell>
          <cell r="AX61" t="str">
            <v/>
          </cell>
          <cell r="AY61" t="str">
            <v/>
          </cell>
          <cell r="AZ61" t="str">
            <v/>
          </cell>
          <cell r="BA61" t="str">
            <v/>
          </cell>
          <cell r="BB61" t="str">
            <v/>
          </cell>
          <cell r="BC61" t="str">
            <v/>
          </cell>
          <cell r="BD61" t="str">
            <v/>
          </cell>
          <cell r="BE61" t="str">
            <v/>
          </cell>
          <cell r="BF61" t="str">
            <v/>
          </cell>
        </row>
        <row r="62">
          <cell r="B62" t="str">
            <v/>
          </cell>
          <cell r="C62" t="str">
            <v/>
          </cell>
          <cell r="D62" t="str">
            <v/>
          </cell>
          <cell r="I62" t="str">
            <v/>
          </cell>
          <cell r="N62" t="str">
            <v/>
          </cell>
          <cell r="S62" t="str">
            <v/>
          </cell>
          <cell r="X62" t="str">
            <v/>
          </cell>
          <cell r="AC62" t="str">
            <v/>
          </cell>
          <cell r="AH62" t="str">
            <v/>
          </cell>
          <cell r="AM62" t="str">
            <v/>
          </cell>
          <cell r="AR62" t="str">
            <v/>
          </cell>
          <cell r="AX62" t="str">
            <v/>
          </cell>
          <cell r="AY62" t="str">
            <v/>
          </cell>
          <cell r="AZ62" t="str">
            <v/>
          </cell>
          <cell r="BA62" t="str">
            <v/>
          </cell>
          <cell r="BB62" t="str">
            <v/>
          </cell>
          <cell r="BC62" t="str">
            <v/>
          </cell>
          <cell r="BD62" t="str">
            <v/>
          </cell>
          <cell r="BE62" t="str">
            <v/>
          </cell>
          <cell r="BF62" t="str">
            <v/>
          </cell>
        </row>
        <row r="63">
          <cell r="B63" t="str">
            <v/>
          </cell>
          <cell r="C63" t="str">
            <v/>
          </cell>
          <cell r="D63" t="str">
            <v/>
          </cell>
          <cell r="I63" t="str">
            <v/>
          </cell>
          <cell r="N63" t="str">
            <v/>
          </cell>
          <cell r="S63" t="str">
            <v/>
          </cell>
          <cell r="X63" t="str">
            <v/>
          </cell>
          <cell r="AC63" t="str">
            <v/>
          </cell>
          <cell r="AH63" t="str">
            <v/>
          </cell>
          <cell r="AM63" t="str">
            <v/>
          </cell>
          <cell r="AR63" t="str">
            <v/>
          </cell>
          <cell r="AX63" t="str">
            <v/>
          </cell>
          <cell r="AY63" t="str">
            <v/>
          </cell>
          <cell r="AZ63" t="str">
            <v/>
          </cell>
          <cell r="BA63" t="str">
            <v/>
          </cell>
          <cell r="BB63" t="str">
            <v/>
          </cell>
          <cell r="BC63" t="str">
            <v/>
          </cell>
          <cell r="BD63" t="str">
            <v/>
          </cell>
          <cell r="BE63" t="str">
            <v/>
          </cell>
          <cell r="BF63" t="str">
            <v/>
          </cell>
        </row>
        <row r="64">
          <cell r="B64" t="str">
            <v/>
          </cell>
          <cell r="C64" t="str">
            <v/>
          </cell>
          <cell r="D64" t="str">
            <v/>
          </cell>
          <cell r="I64" t="str">
            <v/>
          </cell>
          <cell r="N64" t="str">
            <v/>
          </cell>
          <cell r="S64" t="str">
            <v/>
          </cell>
          <cell r="X64" t="str">
            <v/>
          </cell>
          <cell r="AC64" t="str">
            <v/>
          </cell>
          <cell r="AH64" t="str">
            <v/>
          </cell>
          <cell r="AM64" t="str">
            <v/>
          </cell>
          <cell r="AR64" t="str">
            <v/>
          </cell>
          <cell r="AX64" t="str">
            <v/>
          </cell>
          <cell r="AY64" t="str">
            <v/>
          </cell>
          <cell r="AZ64" t="str">
            <v/>
          </cell>
          <cell r="BA64" t="str">
            <v/>
          </cell>
          <cell r="BB64" t="str">
            <v/>
          </cell>
          <cell r="BC64" t="str">
            <v/>
          </cell>
          <cell r="BD64" t="str">
            <v/>
          </cell>
          <cell r="BE64" t="str">
            <v/>
          </cell>
          <cell r="BF64" t="str">
            <v/>
          </cell>
        </row>
        <row r="65">
          <cell r="B65" t="str">
            <v/>
          </cell>
          <cell r="C65" t="str">
            <v/>
          </cell>
          <cell r="D65" t="str">
            <v/>
          </cell>
          <cell r="I65" t="str">
            <v/>
          </cell>
          <cell r="N65" t="str">
            <v/>
          </cell>
          <cell r="S65" t="str">
            <v/>
          </cell>
          <cell r="X65" t="str">
            <v/>
          </cell>
          <cell r="AC65" t="str">
            <v/>
          </cell>
          <cell r="AH65" t="str">
            <v/>
          </cell>
          <cell r="AM65" t="str">
            <v/>
          </cell>
          <cell r="AR65" t="str">
            <v/>
          </cell>
          <cell r="AX65" t="str">
            <v/>
          </cell>
          <cell r="AY65" t="str">
            <v/>
          </cell>
          <cell r="AZ65" t="str">
            <v/>
          </cell>
          <cell r="BA65" t="str">
            <v/>
          </cell>
          <cell r="BB65" t="str">
            <v/>
          </cell>
          <cell r="BC65" t="str">
            <v/>
          </cell>
          <cell r="BD65" t="str">
            <v/>
          </cell>
          <cell r="BE65" t="str">
            <v/>
          </cell>
          <cell r="BF65" t="str">
            <v/>
          </cell>
        </row>
        <row r="66">
          <cell r="B66" t="str">
            <v/>
          </cell>
          <cell r="C66" t="str">
            <v/>
          </cell>
          <cell r="D66" t="str">
            <v/>
          </cell>
          <cell r="I66" t="str">
            <v/>
          </cell>
          <cell r="N66" t="str">
            <v/>
          </cell>
          <cell r="S66" t="str">
            <v/>
          </cell>
          <cell r="X66" t="str">
            <v/>
          </cell>
          <cell r="AC66" t="str">
            <v/>
          </cell>
          <cell r="AH66" t="str">
            <v/>
          </cell>
          <cell r="AM66" t="str">
            <v/>
          </cell>
          <cell r="AR66" t="str">
            <v/>
          </cell>
          <cell r="AX66" t="str">
            <v/>
          </cell>
          <cell r="AY66" t="str">
            <v/>
          </cell>
          <cell r="AZ66" t="str">
            <v/>
          </cell>
          <cell r="BA66" t="str">
            <v/>
          </cell>
          <cell r="BB66" t="str">
            <v/>
          </cell>
          <cell r="BC66" t="str">
            <v/>
          </cell>
          <cell r="BD66" t="str">
            <v/>
          </cell>
          <cell r="BE66" t="str">
            <v/>
          </cell>
          <cell r="BF66" t="str">
            <v/>
          </cell>
        </row>
        <row r="67">
          <cell r="B67" t="str">
            <v/>
          </cell>
          <cell r="C67" t="str">
            <v/>
          </cell>
          <cell r="D67" t="str">
            <v/>
          </cell>
          <cell r="I67" t="str">
            <v/>
          </cell>
          <cell r="N67" t="str">
            <v/>
          </cell>
          <cell r="S67" t="str">
            <v/>
          </cell>
          <cell r="X67" t="str">
            <v/>
          </cell>
          <cell r="AC67" t="str">
            <v/>
          </cell>
          <cell r="AH67" t="str">
            <v/>
          </cell>
          <cell r="AM67" t="str">
            <v/>
          </cell>
          <cell r="AR67" t="str">
            <v/>
          </cell>
          <cell r="AX67" t="str">
            <v/>
          </cell>
          <cell r="AY67" t="str">
            <v/>
          </cell>
          <cell r="AZ67" t="str">
            <v/>
          </cell>
          <cell r="BA67" t="str">
            <v/>
          </cell>
          <cell r="BB67" t="str">
            <v/>
          </cell>
          <cell r="BC67" t="str">
            <v/>
          </cell>
          <cell r="BD67" t="str">
            <v/>
          </cell>
          <cell r="BE67" t="str">
            <v/>
          </cell>
          <cell r="BF67" t="str">
            <v/>
          </cell>
        </row>
        <row r="68">
          <cell r="B68" t="str">
            <v/>
          </cell>
          <cell r="C68" t="str">
            <v/>
          </cell>
          <cell r="D68" t="str">
            <v/>
          </cell>
          <cell r="I68" t="str">
            <v/>
          </cell>
          <cell r="N68" t="str">
            <v/>
          </cell>
          <cell r="S68" t="str">
            <v/>
          </cell>
          <cell r="X68" t="str">
            <v/>
          </cell>
          <cell r="AC68" t="str">
            <v/>
          </cell>
          <cell r="AH68" t="str">
            <v/>
          </cell>
          <cell r="AM68" t="str">
            <v/>
          </cell>
          <cell r="AR68" t="str">
            <v/>
          </cell>
          <cell r="AX68" t="str">
            <v/>
          </cell>
          <cell r="AY68" t="str">
            <v/>
          </cell>
          <cell r="AZ68" t="str">
            <v/>
          </cell>
          <cell r="BA68" t="str">
            <v/>
          </cell>
          <cell r="BB68" t="str">
            <v/>
          </cell>
          <cell r="BC68" t="str">
            <v/>
          </cell>
          <cell r="BD68" t="str">
            <v/>
          </cell>
          <cell r="BE68" t="str">
            <v/>
          </cell>
          <cell r="BF68" t="str">
            <v/>
          </cell>
        </row>
        <row r="69">
          <cell r="B69" t="str">
            <v/>
          </cell>
          <cell r="C69" t="str">
            <v/>
          </cell>
          <cell r="D69" t="str">
            <v/>
          </cell>
          <cell r="I69" t="str">
            <v/>
          </cell>
          <cell r="N69" t="str">
            <v/>
          </cell>
          <cell r="S69" t="str">
            <v/>
          </cell>
          <cell r="X69" t="str">
            <v/>
          </cell>
          <cell r="AC69" t="str">
            <v/>
          </cell>
          <cell r="AH69" t="str">
            <v/>
          </cell>
          <cell r="AM69" t="str">
            <v/>
          </cell>
          <cell r="AR69" t="str">
            <v/>
          </cell>
          <cell r="AX69" t="str">
            <v/>
          </cell>
          <cell r="AY69" t="str">
            <v/>
          </cell>
          <cell r="AZ69" t="str">
            <v/>
          </cell>
          <cell r="BA69" t="str">
            <v/>
          </cell>
          <cell r="BB69" t="str">
            <v/>
          </cell>
          <cell r="BC69" t="str">
            <v/>
          </cell>
          <cell r="BD69" t="str">
            <v/>
          </cell>
          <cell r="BE69" t="str">
            <v/>
          </cell>
          <cell r="BF69" t="str">
            <v/>
          </cell>
        </row>
        <row r="70">
          <cell r="B70" t="str">
            <v/>
          </cell>
          <cell r="C70" t="str">
            <v/>
          </cell>
          <cell r="D70" t="str">
            <v/>
          </cell>
          <cell r="I70" t="str">
            <v/>
          </cell>
          <cell r="N70" t="str">
            <v/>
          </cell>
          <cell r="S70" t="str">
            <v/>
          </cell>
          <cell r="X70" t="str">
            <v/>
          </cell>
          <cell r="AC70" t="str">
            <v/>
          </cell>
          <cell r="AH70" t="str">
            <v/>
          </cell>
          <cell r="AM70" t="str">
            <v/>
          </cell>
          <cell r="AR70" t="str">
            <v/>
          </cell>
          <cell r="AX70" t="str">
            <v/>
          </cell>
          <cell r="AY70" t="str">
            <v/>
          </cell>
          <cell r="AZ70" t="str">
            <v/>
          </cell>
          <cell r="BA70" t="str">
            <v/>
          </cell>
          <cell r="BB70" t="str">
            <v/>
          </cell>
          <cell r="BC70" t="str">
            <v/>
          </cell>
          <cell r="BD70" t="str">
            <v/>
          </cell>
          <cell r="BE70" t="str">
            <v/>
          </cell>
          <cell r="BF70" t="str">
            <v/>
          </cell>
        </row>
        <row r="71">
          <cell r="B71" t="str">
            <v/>
          </cell>
          <cell r="C71" t="str">
            <v/>
          </cell>
          <cell r="D71" t="str">
            <v/>
          </cell>
          <cell r="I71" t="str">
            <v/>
          </cell>
          <cell r="N71" t="str">
            <v/>
          </cell>
          <cell r="S71" t="str">
            <v/>
          </cell>
          <cell r="X71" t="str">
            <v/>
          </cell>
          <cell r="AC71" t="str">
            <v/>
          </cell>
          <cell r="AH71" t="str">
            <v/>
          </cell>
          <cell r="AM71" t="str">
            <v/>
          </cell>
          <cell r="AR71" t="str">
            <v/>
          </cell>
          <cell r="AX71" t="str">
            <v/>
          </cell>
          <cell r="AY71" t="str">
            <v/>
          </cell>
          <cell r="AZ71" t="str">
            <v/>
          </cell>
          <cell r="BA71" t="str">
            <v/>
          </cell>
          <cell r="BB71" t="str">
            <v/>
          </cell>
          <cell r="BC71" t="str">
            <v/>
          </cell>
          <cell r="BD71" t="str">
            <v/>
          </cell>
          <cell r="BE71" t="str">
            <v/>
          </cell>
          <cell r="BF71" t="str">
            <v/>
          </cell>
        </row>
        <row r="72">
          <cell r="B72" t="str">
            <v/>
          </cell>
          <cell r="C72" t="str">
            <v/>
          </cell>
          <cell r="D72" t="str">
            <v/>
          </cell>
          <cell r="I72" t="str">
            <v/>
          </cell>
          <cell r="N72" t="str">
            <v/>
          </cell>
          <cell r="S72" t="str">
            <v/>
          </cell>
          <cell r="X72" t="str">
            <v/>
          </cell>
          <cell r="AC72" t="str">
            <v/>
          </cell>
          <cell r="AH72" t="str">
            <v/>
          </cell>
          <cell r="AM72" t="str">
            <v/>
          </cell>
          <cell r="AR72" t="str">
            <v/>
          </cell>
          <cell r="AX72" t="str">
            <v/>
          </cell>
          <cell r="AY72" t="str">
            <v/>
          </cell>
          <cell r="AZ72" t="str">
            <v/>
          </cell>
          <cell r="BA72" t="str">
            <v/>
          </cell>
          <cell r="BB72" t="str">
            <v/>
          </cell>
          <cell r="BC72" t="str">
            <v/>
          </cell>
          <cell r="BD72" t="str">
            <v/>
          </cell>
          <cell r="BE72" t="str">
            <v/>
          </cell>
          <cell r="BF72" t="str">
            <v/>
          </cell>
        </row>
        <row r="73">
          <cell r="B73" t="str">
            <v/>
          </cell>
          <cell r="C73" t="str">
            <v/>
          </cell>
          <cell r="D73" t="str">
            <v/>
          </cell>
          <cell r="I73" t="str">
            <v/>
          </cell>
          <cell r="N73" t="str">
            <v/>
          </cell>
          <cell r="S73" t="str">
            <v/>
          </cell>
          <cell r="X73" t="str">
            <v/>
          </cell>
          <cell r="AC73" t="str">
            <v/>
          </cell>
          <cell r="AH73" t="str">
            <v/>
          </cell>
          <cell r="AM73" t="str">
            <v/>
          </cell>
          <cell r="AR73" t="str">
            <v/>
          </cell>
          <cell r="AX73" t="str">
            <v/>
          </cell>
          <cell r="AY73" t="str">
            <v/>
          </cell>
          <cell r="AZ73" t="str">
            <v/>
          </cell>
          <cell r="BA73" t="str">
            <v/>
          </cell>
          <cell r="BB73" t="str">
            <v/>
          </cell>
          <cell r="BC73" t="str">
            <v/>
          </cell>
          <cell r="BD73" t="str">
            <v/>
          </cell>
          <cell r="BE73" t="str">
            <v/>
          </cell>
          <cell r="BF73" t="str">
            <v/>
          </cell>
        </row>
        <row r="74">
          <cell r="B74" t="str">
            <v/>
          </cell>
          <cell r="C74" t="str">
            <v/>
          </cell>
          <cell r="D74" t="str">
            <v/>
          </cell>
          <cell r="I74" t="str">
            <v/>
          </cell>
          <cell r="N74" t="str">
            <v/>
          </cell>
          <cell r="S74" t="str">
            <v/>
          </cell>
          <cell r="X74" t="str">
            <v/>
          </cell>
          <cell r="AC74" t="str">
            <v/>
          </cell>
          <cell r="AH74" t="str">
            <v/>
          </cell>
          <cell r="AM74" t="str">
            <v/>
          </cell>
          <cell r="AR74" t="str">
            <v/>
          </cell>
          <cell r="AX74" t="str">
            <v/>
          </cell>
          <cell r="AY74" t="str">
            <v/>
          </cell>
          <cell r="AZ74" t="str">
            <v/>
          </cell>
          <cell r="BA74" t="str">
            <v/>
          </cell>
          <cell r="BB74" t="str">
            <v/>
          </cell>
          <cell r="BC74" t="str">
            <v/>
          </cell>
          <cell r="BD74" t="str">
            <v/>
          </cell>
          <cell r="BE74" t="str">
            <v/>
          </cell>
          <cell r="BF74" t="str">
            <v/>
          </cell>
        </row>
        <row r="75">
          <cell r="B75" t="str">
            <v/>
          </cell>
          <cell r="C75" t="str">
            <v/>
          </cell>
          <cell r="D75" t="str">
            <v/>
          </cell>
          <cell r="I75" t="str">
            <v/>
          </cell>
          <cell r="N75" t="str">
            <v/>
          </cell>
          <cell r="S75" t="str">
            <v/>
          </cell>
          <cell r="X75" t="str">
            <v/>
          </cell>
          <cell r="AC75" t="str">
            <v/>
          </cell>
          <cell r="AH75" t="str">
            <v/>
          </cell>
          <cell r="AM75" t="str">
            <v/>
          </cell>
          <cell r="AR75" t="str">
            <v/>
          </cell>
          <cell r="AX75" t="str">
            <v/>
          </cell>
          <cell r="AY75" t="str">
            <v/>
          </cell>
          <cell r="AZ75" t="str">
            <v/>
          </cell>
          <cell r="BA75" t="str">
            <v/>
          </cell>
          <cell r="BB75" t="str">
            <v/>
          </cell>
          <cell r="BC75" t="str">
            <v/>
          </cell>
          <cell r="BD75" t="str">
            <v/>
          </cell>
          <cell r="BE75" t="str">
            <v/>
          </cell>
          <cell r="BF75" t="str">
            <v/>
          </cell>
        </row>
        <row r="76">
          <cell r="B76" t="str">
            <v/>
          </cell>
          <cell r="C76" t="str">
            <v/>
          </cell>
          <cell r="D76" t="str">
            <v/>
          </cell>
          <cell r="I76" t="str">
            <v/>
          </cell>
          <cell r="N76" t="str">
            <v/>
          </cell>
          <cell r="S76" t="str">
            <v/>
          </cell>
          <cell r="X76" t="str">
            <v/>
          </cell>
          <cell r="AC76" t="str">
            <v/>
          </cell>
          <cell r="AH76" t="str">
            <v/>
          </cell>
          <cell r="AM76" t="str">
            <v/>
          </cell>
          <cell r="AR76" t="str">
            <v/>
          </cell>
          <cell r="AX76" t="str">
            <v/>
          </cell>
          <cell r="AY76" t="str">
            <v/>
          </cell>
          <cell r="AZ76" t="str">
            <v/>
          </cell>
          <cell r="BA76" t="str">
            <v/>
          </cell>
          <cell r="BB76" t="str">
            <v/>
          </cell>
          <cell r="BC76" t="str">
            <v/>
          </cell>
          <cell r="BD76" t="str">
            <v/>
          </cell>
          <cell r="BE76" t="str">
            <v/>
          </cell>
          <cell r="BF76" t="str">
            <v/>
          </cell>
        </row>
        <row r="77">
          <cell r="B77" t="str">
            <v/>
          </cell>
          <cell r="C77" t="str">
            <v/>
          </cell>
          <cell r="D77" t="str">
            <v/>
          </cell>
          <cell r="I77" t="str">
            <v/>
          </cell>
          <cell r="N77" t="str">
            <v/>
          </cell>
          <cell r="S77" t="str">
            <v/>
          </cell>
          <cell r="X77" t="str">
            <v/>
          </cell>
          <cell r="AC77" t="str">
            <v/>
          </cell>
          <cell r="AH77" t="str">
            <v/>
          </cell>
          <cell r="AM77" t="str">
            <v/>
          </cell>
          <cell r="AR77" t="str">
            <v/>
          </cell>
          <cell r="AX77" t="str">
            <v/>
          </cell>
          <cell r="AY77" t="str">
            <v/>
          </cell>
          <cell r="AZ77" t="str">
            <v/>
          </cell>
          <cell r="BA77" t="str">
            <v/>
          </cell>
          <cell r="BB77" t="str">
            <v/>
          </cell>
          <cell r="BC77" t="str">
            <v/>
          </cell>
          <cell r="BD77" t="str">
            <v/>
          </cell>
          <cell r="BE77" t="str">
            <v/>
          </cell>
          <cell r="BF77" t="str">
            <v/>
          </cell>
        </row>
        <row r="78">
          <cell r="B78" t="str">
            <v/>
          </cell>
          <cell r="C78" t="str">
            <v/>
          </cell>
          <cell r="D78" t="str">
            <v/>
          </cell>
          <cell r="I78" t="str">
            <v/>
          </cell>
          <cell r="N78" t="str">
            <v/>
          </cell>
          <cell r="S78" t="str">
            <v/>
          </cell>
          <cell r="X78" t="str">
            <v/>
          </cell>
          <cell r="AC78" t="str">
            <v/>
          </cell>
          <cell r="AH78" t="str">
            <v/>
          </cell>
          <cell r="AM78" t="str">
            <v/>
          </cell>
          <cell r="AR78" t="str">
            <v/>
          </cell>
          <cell r="AX78" t="str">
            <v/>
          </cell>
          <cell r="AY78" t="str">
            <v/>
          </cell>
          <cell r="AZ78" t="str">
            <v/>
          </cell>
          <cell r="BA78" t="str">
            <v/>
          </cell>
          <cell r="BB78" t="str">
            <v/>
          </cell>
          <cell r="BC78" t="str">
            <v/>
          </cell>
          <cell r="BD78" t="str">
            <v/>
          </cell>
          <cell r="BE78" t="str">
            <v/>
          </cell>
          <cell r="BF78" t="str">
            <v/>
          </cell>
        </row>
        <row r="79">
          <cell r="B79" t="str">
            <v/>
          </cell>
          <cell r="C79" t="str">
            <v/>
          </cell>
          <cell r="D79" t="str">
            <v/>
          </cell>
          <cell r="I79" t="str">
            <v/>
          </cell>
          <cell r="N79" t="str">
            <v/>
          </cell>
          <cell r="S79" t="str">
            <v/>
          </cell>
          <cell r="X79" t="str">
            <v/>
          </cell>
          <cell r="AC79" t="str">
            <v/>
          </cell>
          <cell r="AH79" t="str">
            <v/>
          </cell>
          <cell r="AM79" t="str">
            <v/>
          </cell>
          <cell r="AR79" t="str">
            <v/>
          </cell>
          <cell r="AX79" t="str">
            <v/>
          </cell>
          <cell r="AY79" t="str">
            <v/>
          </cell>
          <cell r="AZ79" t="str">
            <v/>
          </cell>
          <cell r="BA79" t="str">
            <v/>
          </cell>
          <cell r="BB79" t="str">
            <v/>
          </cell>
          <cell r="BC79" t="str">
            <v/>
          </cell>
          <cell r="BD79" t="str">
            <v/>
          </cell>
          <cell r="BE79" t="str">
            <v/>
          </cell>
          <cell r="BF79" t="str">
            <v/>
          </cell>
        </row>
        <row r="80">
          <cell r="B80" t="str">
            <v/>
          </cell>
          <cell r="C80" t="str">
            <v/>
          </cell>
          <cell r="D80" t="str">
            <v/>
          </cell>
          <cell r="I80" t="str">
            <v/>
          </cell>
          <cell r="N80" t="str">
            <v/>
          </cell>
          <cell r="S80" t="str">
            <v/>
          </cell>
          <cell r="X80" t="str">
            <v/>
          </cell>
          <cell r="AC80" t="str">
            <v/>
          </cell>
          <cell r="AH80" t="str">
            <v/>
          </cell>
          <cell r="AM80" t="str">
            <v/>
          </cell>
          <cell r="AR80" t="str">
            <v/>
          </cell>
          <cell r="AX80" t="str">
            <v/>
          </cell>
          <cell r="AY80" t="str">
            <v/>
          </cell>
          <cell r="AZ80" t="str">
            <v/>
          </cell>
          <cell r="BA80" t="str">
            <v/>
          </cell>
          <cell r="BB80" t="str">
            <v/>
          </cell>
          <cell r="BC80" t="str">
            <v/>
          </cell>
          <cell r="BD80" t="str">
            <v/>
          </cell>
          <cell r="BE80" t="str">
            <v/>
          </cell>
          <cell r="BF80" t="str">
            <v/>
          </cell>
        </row>
        <row r="81">
          <cell r="B81" t="str">
            <v/>
          </cell>
          <cell r="C81" t="str">
            <v/>
          </cell>
          <cell r="D81" t="str">
            <v/>
          </cell>
          <cell r="I81" t="str">
            <v/>
          </cell>
          <cell r="N81" t="str">
            <v/>
          </cell>
          <cell r="S81" t="str">
            <v/>
          </cell>
          <cell r="X81" t="str">
            <v/>
          </cell>
          <cell r="AC81" t="str">
            <v/>
          </cell>
          <cell r="AH81" t="str">
            <v/>
          </cell>
          <cell r="AM81" t="str">
            <v/>
          </cell>
          <cell r="AR81" t="str">
            <v/>
          </cell>
          <cell r="AX81" t="str">
            <v/>
          </cell>
          <cell r="AY81" t="str">
            <v/>
          </cell>
          <cell r="AZ81" t="str">
            <v/>
          </cell>
          <cell r="BA81" t="str">
            <v/>
          </cell>
          <cell r="BB81" t="str">
            <v/>
          </cell>
          <cell r="BC81" t="str">
            <v/>
          </cell>
          <cell r="BD81" t="str">
            <v/>
          </cell>
          <cell r="BE81" t="str">
            <v/>
          </cell>
          <cell r="BF81" t="str">
            <v/>
          </cell>
        </row>
        <row r="82">
          <cell r="B82" t="str">
            <v/>
          </cell>
          <cell r="C82" t="str">
            <v/>
          </cell>
          <cell r="D82" t="str">
            <v/>
          </cell>
          <cell r="I82" t="str">
            <v/>
          </cell>
          <cell r="N82" t="str">
            <v/>
          </cell>
          <cell r="S82" t="str">
            <v/>
          </cell>
          <cell r="X82" t="str">
            <v/>
          </cell>
          <cell r="AC82" t="str">
            <v/>
          </cell>
          <cell r="AH82" t="str">
            <v/>
          </cell>
          <cell r="AM82" t="str">
            <v/>
          </cell>
          <cell r="AR82" t="str">
            <v/>
          </cell>
          <cell r="AX82" t="str">
            <v/>
          </cell>
          <cell r="AY82" t="str">
            <v/>
          </cell>
          <cell r="AZ82" t="str">
            <v/>
          </cell>
          <cell r="BA82" t="str">
            <v/>
          </cell>
          <cell r="BB82" t="str">
            <v/>
          </cell>
          <cell r="BC82" t="str">
            <v/>
          </cell>
          <cell r="BD82" t="str">
            <v/>
          </cell>
          <cell r="BE82" t="str">
            <v/>
          </cell>
          <cell r="BF82" t="str">
            <v/>
          </cell>
        </row>
        <row r="83">
          <cell r="B83" t="str">
            <v/>
          </cell>
          <cell r="C83" t="str">
            <v/>
          </cell>
          <cell r="D83" t="str">
            <v/>
          </cell>
          <cell r="I83" t="str">
            <v/>
          </cell>
          <cell r="N83" t="str">
            <v/>
          </cell>
          <cell r="S83" t="str">
            <v/>
          </cell>
          <cell r="X83" t="str">
            <v/>
          </cell>
          <cell r="AC83" t="str">
            <v/>
          </cell>
          <cell r="AH83" t="str">
            <v/>
          </cell>
          <cell r="AM83" t="str">
            <v/>
          </cell>
          <cell r="AR83" t="str">
            <v/>
          </cell>
          <cell r="AX83" t="str">
            <v/>
          </cell>
          <cell r="AY83" t="str">
            <v/>
          </cell>
          <cell r="AZ83" t="str">
            <v/>
          </cell>
          <cell r="BA83" t="str">
            <v/>
          </cell>
          <cell r="BB83" t="str">
            <v/>
          </cell>
          <cell r="BC83" t="str">
            <v/>
          </cell>
          <cell r="BD83" t="str">
            <v/>
          </cell>
          <cell r="BE83" t="str">
            <v/>
          </cell>
          <cell r="BF83" t="str">
            <v/>
          </cell>
        </row>
        <row r="84">
          <cell r="B84" t="str">
            <v/>
          </cell>
          <cell r="C84" t="str">
            <v/>
          </cell>
          <cell r="D84" t="str">
            <v/>
          </cell>
          <cell r="I84" t="str">
            <v/>
          </cell>
          <cell r="N84" t="str">
            <v/>
          </cell>
          <cell r="S84" t="str">
            <v/>
          </cell>
          <cell r="X84" t="str">
            <v/>
          </cell>
          <cell r="AC84" t="str">
            <v/>
          </cell>
          <cell r="AH84" t="str">
            <v/>
          </cell>
          <cell r="AM84" t="str">
            <v/>
          </cell>
          <cell r="AR84" t="str">
            <v/>
          </cell>
          <cell r="AX84" t="str">
            <v/>
          </cell>
          <cell r="AY84" t="str">
            <v/>
          </cell>
          <cell r="AZ84" t="str">
            <v/>
          </cell>
          <cell r="BA84" t="str">
            <v/>
          </cell>
          <cell r="BB84" t="str">
            <v/>
          </cell>
          <cell r="BC84" t="str">
            <v/>
          </cell>
          <cell r="BD84" t="str">
            <v/>
          </cell>
          <cell r="BE84" t="str">
            <v/>
          </cell>
          <cell r="BF84" t="str">
            <v/>
          </cell>
        </row>
        <row r="85">
          <cell r="B85" t="str">
            <v/>
          </cell>
          <cell r="C85" t="str">
            <v/>
          </cell>
          <cell r="D85" t="str">
            <v/>
          </cell>
          <cell r="I85" t="str">
            <v/>
          </cell>
          <cell r="N85" t="str">
            <v/>
          </cell>
          <cell r="S85" t="str">
            <v/>
          </cell>
          <cell r="X85" t="str">
            <v/>
          </cell>
          <cell r="AC85" t="str">
            <v/>
          </cell>
          <cell r="AH85" t="str">
            <v/>
          </cell>
          <cell r="AM85" t="str">
            <v/>
          </cell>
          <cell r="AR85" t="str">
            <v/>
          </cell>
          <cell r="AX85" t="str">
            <v/>
          </cell>
          <cell r="AY85" t="str">
            <v/>
          </cell>
          <cell r="AZ85" t="str">
            <v/>
          </cell>
          <cell r="BA85" t="str">
            <v/>
          </cell>
          <cell r="BB85" t="str">
            <v/>
          </cell>
          <cell r="BC85" t="str">
            <v/>
          </cell>
          <cell r="BD85" t="str">
            <v/>
          </cell>
          <cell r="BE85" t="str">
            <v/>
          </cell>
          <cell r="BF85" t="str">
            <v/>
          </cell>
        </row>
        <row r="86">
          <cell r="B86" t="str">
            <v/>
          </cell>
          <cell r="C86" t="str">
            <v/>
          </cell>
          <cell r="D86" t="str">
            <v/>
          </cell>
          <cell r="I86" t="str">
            <v/>
          </cell>
          <cell r="N86" t="str">
            <v/>
          </cell>
          <cell r="S86" t="str">
            <v/>
          </cell>
          <cell r="X86" t="str">
            <v/>
          </cell>
          <cell r="AC86" t="str">
            <v/>
          </cell>
          <cell r="AH86" t="str">
            <v/>
          </cell>
          <cell r="AM86" t="str">
            <v/>
          </cell>
          <cell r="AR86" t="str">
            <v/>
          </cell>
          <cell r="AX86" t="str">
            <v/>
          </cell>
          <cell r="AY86" t="str">
            <v/>
          </cell>
          <cell r="AZ86" t="str">
            <v/>
          </cell>
          <cell r="BA86" t="str">
            <v/>
          </cell>
          <cell r="BB86" t="str">
            <v/>
          </cell>
          <cell r="BC86" t="str">
            <v/>
          </cell>
          <cell r="BD86" t="str">
            <v/>
          </cell>
          <cell r="BE86" t="str">
            <v/>
          </cell>
          <cell r="BF86" t="str">
            <v/>
          </cell>
        </row>
        <row r="87">
          <cell r="B87" t="str">
            <v/>
          </cell>
          <cell r="C87" t="str">
            <v/>
          </cell>
          <cell r="D87" t="str">
            <v/>
          </cell>
          <cell r="I87" t="str">
            <v/>
          </cell>
          <cell r="N87" t="str">
            <v/>
          </cell>
          <cell r="S87" t="str">
            <v/>
          </cell>
          <cell r="X87" t="str">
            <v/>
          </cell>
          <cell r="AC87" t="str">
            <v/>
          </cell>
          <cell r="AH87" t="str">
            <v/>
          </cell>
          <cell r="AM87" t="str">
            <v/>
          </cell>
          <cell r="AR87" t="str">
            <v/>
          </cell>
          <cell r="AX87" t="str">
            <v/>
          </cell>
          <cell r="AY87" t="str">
            <v/>
          </cell>
          <cell r="AZ87" t="str">
            <v/>
          </cell>
          <cell r="BA87" t="str">
            <v/>
          </cell>
          <cell r="BB87" t="str">
            <v/>
          </cell>
          <cell r="BC87" t="str">
            <v/>
          </cell>
          <cell r="BD87" t="str">
            <v/>
          </cell>
          <cell r="BE87" t="str">
            <v/>
          </cell>
          <cell r="BF87" t="str">
            <v/>
          </cell>
        </row>
        <row r="88">
          <cell r="B88" t="str">
            <v/>
          </cell>
          <cell r="C88" t="str">
            <v/>
          </cell>
          <cell r="D88" t="str">
            <v/>
          </cell>
          <cell r="I88" t="str">
            <v/>
          </cell>
          <cell r="N88" t="str">
            <v/>
          </cell>
          <cell r="S88" t="str">
            <v/>
          </cell>
          <cell r="X88" t="str">
            <v/>
          </cell>
          <cell r="AC88" t="str">
            <v/>
          </cell>
          <cell r="AH88" t="str">
            <v/>
          </cell>
          <cell r="AM88" t="str">
            <v/>
          </cell>
          <cell r="AR88" t="str">
            <v/>
          </cell>
          <cell r="AX88" t="str">
            <v/>
          </cell>
          <cell r="AY88" t="str">
            <v/>
          </cell>
          <cell r="AZ88" t="str">
            <v/>
          </cell>
          <cell r="BA88" t="str">
            <v/>
          </cell>
          <cell r="BB88" t="str">
            <v/>
          </cell>
          <cell r="BC88" t="str">
            <v/>
          </cell>
          <cell r="BD88" t="str">
            <v/>
          </cell>
          <cell r="BE88" t="str">
            <v/>
          </cell>
          <cell r="BF88" t="str">
            <v/>
          </cell>
        </row>
        <row r="89">
          <cell r="B89" t="str">
            <v/>
          </cell>
          <cell r="C89" t="str">
            <v/>
          </cell>
          <cell r="D89" t="str">
            <v/>
          </cell>
          <cell r="I89" t="str">
            <v/>
          </cell>
          <cell r="N89" t="str">
            <v/>
          </cell>
          <cell r="S89" t="str">
            <v/>
          </cell>
          <cell r="X89" t="str">
            <v/>
          </cell>
          <cell r="AC89" t="str">
            <v/>
          </cell>
          <cell r="AH89" t="str">
            <v/>
          </cell>
          <cell r="AM89" t="str">
            <v/>
          </cell>
          <cell r="AR89" t="str">
            <v/>
          </cell>
          <cell r="AX89" t="str">
            <v/>
          </cell>
          <cell r="AY89" t="str">
            <v/>
          </cell>
          <cell r="AZ89" t="str">
            <v/>
          </cell>
          <cell r="BA89" t="str">
            <v/>
          </cell>
          <cell r="BB89" t="str">
            <v/>
          </cell>
          <cell r="BC89" t="str">
            <v/>
          </cell>
          <cell r="BD89" t="str">
            <v/>
          </cell>
          <cell r="BE89" t="str">
            <v/>
          </cell>
          <cell r="BF89" t="str">
            <v/>
          </cell>
        </row>
        <row r="90">
          <cell r="B90" t="str">
            <v/>
          </cell>
          <cell r="C90" t="str">
            <v/>
          </cell>
          <cell r="D90" t="str">
            <v/>
          </cell>
          <cell r="I90" t="str">
            <v/>
          </cell>
          <cell r="N90" t="str">
            <v/>
          </cell>
          <cell r="S90" t="str">
            <v/>
          </cell>
          <cell r="X90" t="str">
            <v/>
          </cell>
          <cell r="AC90" t="str">
            <v/>
          </cell>
          <cell r="AH90" t="str">
            <v/>
          </cell>
          <cell r="AM90" t="str">
            <v/>
          </cell>
          <cell r="AR90" t="str">
            <v/>
          </cell>
          <cell r="AX90" t="str">
            <v/>
          </cell>
          <cell r="AY90" t="str">
            <v/>
          </cell>
          <cell r="AZ90" t="str">
            <v/>
          </cell>
          <cell r="BA90" t="str">
            <v/>
          </cell>
          <cell r="BB90" t="str">
            <v/>
          </cell>
          <cell r="BC90" t="str">
            <v/>
          </cell>
          <cell r="BD90" t="str">
            <v/>
          </cell>
          <cell r="BE90" t="str">
            <v/>
          </cell>
          <cell r="BF90" t="str">
            <v/>
          </cell>
        </row>
        <row r="91">
          <cell r="B91" t="str">
            <v/>
          </cell>
          <cell r="C91" t="str">
            <v/>
          </cell>
          <cell r="D91" t="str">
            <v/>
          </cell>
          <cell r="I91" t="str">
            <v/>
          </cell>
          <cell r="N91" t="str">
            <v/>
          </cell>
          <cell r="S91" t="str">
            <v/>
          </cell>
          <cell r="X91" t="str">
            <v/>
          </cell>
          <cell r="AC91" t="str">
            <v/>
          </cell>
          <cell r="AH91" t="str">
            <v/>
          </cell>
          <cell r="AM91" t="str">
            <v/>
          </cell>
          <cell r="AR91" t="str">
            <v/>
          </cell>
          <cell r="AX91" t="str">
            <v/>
          </cell>
          <cell r="AY91" t="str">
            <v/>
          </cell>
          <cell r="AZ91" t="str">
            <v/>
          </cell>
          <cell r="BA91" t="str">
            <v/>
          </cell>
          <cell r="BB91" t="str">
            <v/>
          </cell>
          <cell r="BC91" t="str">
            <v/>
          </cell>
          <cell r="BD91" t="str">
            <v/>
          </cell>
          <cell r="BE91" t="str">
            <v/>
          </cell>
          <cell r="BF91" t="str">
            <v/>
          </cell>
        </row>
        <row r="92">
          <cell r="B92" t="str">
            <v/>
          </cell>
          <cell r="C92" t="str">
            <v/>
          </cell>
          <cell r="D92" t="str">
            <v/>
          </cell>
          <cell r="I92" t="str">
            <v/>
          </cell>
          <cell r="N92" t="str">
            <v/>
          </cell>
          <cell r="S92" t="str">
            <v/>
          </cell>
          <cell r="X92" t="str">
            <v/>
          </cell>
          <cell r="AC92" t="str">
            <v/>
          </cell>
          <cell r="AH92" t="str">
            <v/>
          </cell>
          <cell r="AM92" t="str">
            <v/>
          </cell>
          <cell r="AR92" t="str">
            <v/>
          </cell>
          <cell r="AX92" t="str">
            <v/>
          </cell>
          <cell r="AY92" t="str">
            <v/>
          </cell>
          <cell r="AZ92" t="str">
            <v/>
          </cell>
          <cell r="BA92" t="str">
            <v/>
          </cell>
          <cell r="BB92" t="str">
            <v/>
          </cell>
          <cell r="BC92" t="str">
            <v/>
          </cell>
          <cell r="BD92" t="str">
            <v/>
          </cell>
          <cell r="BE92" t="str">
            <v/>
          </cell>
          <cell r="BF92" t="str">
            <v/>
          </cell>
        </row>
        <row r="93">
          <cell r="B93" t="str">
            <v/>
          </cell>
          <cell r="C93" t="str">
            <v/>
          </cell>
          <cell r="D93" t="str">
            <v/>
          </cell>
          <cell r="I93" t="str">
            <v/>
          </cell>
          <cell r="N93" t="str">
            <v/>
          </cell>
          <cell r="S93" t="str">
            <v/>
          </cell>
          <cell r="X93" t="str">
            <v/>
          </cell>
          <cell r="AC93" t="str">
            <v/>
          </cell>
          <cell r="AH93" t="str">
            <v/>
          </cell>
          <cell r="AM93" t="str">
            <v/>
          </cell>
          <cell r="AR93" t="str">
            <v/>
          </cell>
          <cell r="AX93" t="str">
            <v/>
          </cell>
          <cell r="AY93" t="str">
            <v/>
          </cell>
          <cell r="AZ93" t="str">
            <v/>
          </cell>
          <cell r="BA93" t="str">
            <v/>
          </cell>
          <cell r="BB93" t="str">
            <v/>
          </cell>
          <cell r="BC93" t="str">
            <v/>
          </cell>
          <cell r="BD93" t="str">
            <v/>
          </cell>
          <cell r="BE93" t="str">
            <v/>
          </cell>
          <cell r="BF93" t="str">
            <v/>
          </cell>
        </row>
        <row r="94">
          <cell r="B94" t="str">
            <v/>
          </cell>
          <cell r="C94" t="str">
            <v/>
          </cell>
          <cell r="D94" t="str">
            <v/>
          </cell>
          <cell r="I94" t="str">
            <v/>
          </cell>
          <cell r="N94" t="str">
            <v/>
          </cell>
          <cell r="S94" t="str">
            <v/>
          </cell>
          <cell r="X94" t="str">
            <v/>
          </cell>
          <cell r="AC94" t="str">
            <v/>
          </cell>
          <cell r="AH94" t="str">
            <v/>
          </cell>
          <cell r="AM94" t="str">
            <v/>
          </cell>
          <cell r="AR94" t="str">
            <v/>
          </cell>
          <cell r="AX94" t="str">
            <v/>
          </cell>
          <cell r="AY94" t="str">
            <v/>
          </cell>
          <cell r="AZ94" t="str">
            <v/>
          </cell>
          <cell r="BA94" t="str">
            <v/>
          </cell>
          <cell r="BB94" t="str">
            <v/>
          </cell>
          <cell r="BC94" t="str">
            <v/>
          </cell>
          <cell r="BD94" t="str">
            <v/>
          </cell>
          <cell r="BE94" t="str">
            <v/>
          </cell>
          <cell r="BF94" t="str">
            <v/>
          </cell>
        </row>
        <row r="95">
          <cell r="B95" t="str">
            <v/>
          </cell>
          <cell r="C95" t="str">
            <v/>
          </cell>
          <cell r="D95" t="str">
            <v/>
          </cell>
          <cell r="I95" t="str">
            <v/>
          </cell>
          <cell r="N95" t="str">
            <v/>
          </cell>
          <cell r="S95" t="str">
            <v/>
          </cell>
          <cell r="X95" t="str">
            <v/>
          </cell>
          <cell r="AC95" t="str">
            <v/>
          </cell>
          <cell r="AH95" t="str">
            <v/>
          </cell>
          <cell r="AM95" t="str">
            <v/>
          </cell>
          <cell r="AR95" t="str">
            <v/>
          </cell>
          <cell r="AX95" t="str">
            <v/>
          </cell>
          <cell r="AY95" t="str">
            <v/>
          </cell>
          <cell r="AZ95" t="str">
            <v/>
          </cell>
          <cell r="BA95" t="str">
            <v/>
          </cell>
          <cell r="BB95" t="str">
            <v/>
          </cell>
          <cell r="BC95" t="str">
            <v/>
          </cell>
          <cell r="BD95" t="str">
            <v/>
          </cell>
          <cell r="BE95" t="str">
            <v/>
          </cell>
          <cell r="BF95" t="str">
            <v/>
          </cell>
        </row>
        <row r="96">
          <cell r="B96" t="str">
            <v/>
          </cell>
          <cell r="C96" t="str">
            <v/>
          </cell>
          <cell r="D96" t="str">
            <v/>
          </cell>
          <cell r="I96" t="str">
            <v/>
          </cell>
          <cell r="N96" t="str">
            <v/>
          </cell>
          <cell r="S96" t="str">
            <v/>
          </cell>
          <cell r="X96" t="str">
            <v/>
          </cell>
          <cell r="AC96" t="str">
            <v/>
          </cell>
          <cell r="AH96" t="str">
            <v/>
          </cell>
          <cell r="AM96" t="str">
            <v/>
          </cell>
          <cell r="AR96" t="str">
            <v/>
          </cell>
          <cell r="AX96" t="str">
            <v/>
          </cell>
          <cell r="AY96" t="str">
            <v/>
          </cell>
          <cell r="AZ96" t="str">
            <v/>
          </cell>
          <cell r="BA96" t="str">
            <v/>
          </cell>
          <cell r="BB96" t="str">
            <v/>
          </cell>
          <cell r="BC96" t="str">
            <v/>
          </cell>
          <cell r="BD96" t="str">
            <v/>
          </cell>
          <cell r="BE96" t="str">
            <v/>
          </cell>
          <cell r="BF96" t="str">
            <v/>
          </cell>
        </row>
        <row r="97">
          <cell r="B97" t="str">
            <v/>
          </cell>
          <cell r="C97" t="str">
            <v/>
          </cell>
          <cell r="D97" t="str">
            <v/>
          </cell>
          <cell r="I97" t="str">
            <v/>
          </cell>
          <cell r="N97" t="str">
            <v/>
          </cell>
          <cell r="S97" t="str">
            <v/>
          </cell>
          <cell r="X97" t="str">
            <v/>
          </cell>
          <cell r="AC97" t="str">
            <v/>
          </cell>
          <cell r="AH97" t="str">
            <v/>
          </cell>
          <cell r="AM97" t="str">
            <v/>
          </cell>
          <cell r="AR97" t="str">
            <v/>
          </cell>
          <cell r="AX97" t="str">
            <v/>
          </cell>
          <cell r="AY97" t="str">
            <v/>
          </cell>
          <cell r="AZ97" t="str">
            <v/>
          </cell>
          <cell r="BA97" t="str">
            <v/>
          </cell>
          <cell r="BB97" t="str">
            <v/>
          </cell>
          <cell r="BC97" t="str">
            <v/>
          </cell>
          <cell r="BD97" t="str">
            <v/>
          </cell>
          <cell r="BE97" t="str">
            <v/>
          </cell>
          <cell r="BF97" t="str">
            <v/>
          </cell>
        </row>
        <row r="98">
          <cell r="B98" t="str">
            <v/>
          </cell>
          <cell r="C98" t="str">
            <v/>
          </cell>
          <cell r="D98" t="str">
            <v/>
          </cell>
          <cell r="I98" t="str">
            <v/>
          </cell>
          <cell r="N98" t="str">
            <v/>
          </cell>
          <cell r="S98" t="str">
            <v/>
          </cell>
          <cell r="X98" t="str">
            <v/>
          </cell>
          <cell r="AC98" t="str">
            <v/>
          </cell>
          <cell r="AH98" t="str">
            <v/>
          </cell>
          <cell r="AM98" t="str">
            <v/>
          </cell>
          <cell r="AR98" t="str">
            <v/>
          </cell>
          <cell r="AX98" t="str">
            <v/>
          </cell>
          <cell r="AY98" t="str">
            <v/>
          </cell>
          <cell r="AZ98" t="str">
            <v/>
          </cell>
          <cell r="BA98" t="str">
            <v/>
          </cell>
          <cell r="BB98" t="str">
            <v/>
          </cell>
          <cell r="BC98" t="str">
            <v/>
          </cell>
          <cell r="BD98" t="str">
            <v/>
          </cell>
          <cell r="BE98" t="str">
            <v/>
          </cell>
          <cell r="BF98" t="str">
            <v/>
          </cell>
        </row>
        <row r="99">
          <cell r="B99" t="str">
            <v/>
          </cell>
          <cell r="C99" t="str">
            <v/>
          </cell>
          <cell r="D99" t="str">
            <v/>
          </cell>
          <cell r="I99" t="str">
            <v/>
          </cell>
          <cell r="N99" t="str">
            <v/>
          </cell>
          <cell r="S99" t="str">
            <v/>
          </cell>
          <cell r="X99" t="str">
            <v/>
          </cell>
          <cell r="AC99" t="str">
            <v/>
          </cell>
          <cell r="AH99" t="str">
            <v/>
          </cell>
          <cell r="AM99" t="str">
            <v/>
          </cell>
          <cell r="AR99" t="str">
            <v/>
          </cell>
          <cell r="AX99" t="str">
            <v/>
          </cell>
          <cell r="AY99" t="str">
            <v/>
          </cell>
          <cell r="AZ99" t="str">
            <v/>
          </cell>
          <cell r="BA99" t="str">
            <v/>
          </cell>
          <cell r="BB99" t="str">
            <v/>
          </cell>
          <cell r="BC99" t="str">
            <v/>
          </cell>
          <cell r="BD99" t="str">
            <v/>
          </cell>
          <cell r="BE99" t="str">
            <v/>
          </cell>
          <cell r="BF99" t="str">
            <v/>
          </cell>
        </row>
        <row r="100">
          <cell r="B100" t="str">
            <v/>
          </cell>
          <cell r="C100" t="str">
            <v/>
          </cell>
          <cell r="D100" t="str">
            <v/>
          </cell>
          <cell r="I100" t="str">
            <v/>
          </cell>
          <cell r="N100" t="str">
            <v/>
          </cell>
          <cell r="S100" t="str">
            <v/>
          </cell>
          <cell r="X100" t="str">
            <v/>
          </cell>
          <cell r="AC100" t="str">
            <v/>
          </cell>
          <cell r="AH100" t="str">
            <v/>
          </cell>
          <cell r="AM100" t="str">
            <v/>
          </cell>
          <cell r="AR100" t="str">
            <v/>
          </cell>
          <cell r="AX100" t="str">
            <v/>
          </cell>
          <cell r="AY100" t="str">
            <v/>
          </cell>
          <cell r="AZ100" t="str">
            <v/>
          </cell>
          <cell r="BA100" t="str">
            <v/>
          </cell>
          <cell r="BB100" t="str">
            <v/>
          </cell>
          <cell r="BC100" t="str">
            <v/>
          </cell>
          <cell r="BD100" t="str">
            <v/>
          </cell>
          <cell r="BE100" t="str">
            <v/>
          </cell>
          <cell r="BF100" t="str">
            <v/>
          </cell>
        </row>
        <row r="101">
          <cell r="B101" t="str">
            <v/>
          </cell>
          <cell r="C101" t="str">
            <v/>
          </cell>
          <cell r="D101" t="str">
            <v/>
          </cell>
          <cell r="I101" t="str">
            <v/>
          </cell>
          <cell r="N101" t="str">
            <v/>
          </cell>
          <cell r="S101" t="str">
            <v/>
          </cell>
          <cell r="X101" t="str">
            <v/>
          </cell>
          <cell r="AC101" t="str">
            <v/>
          </cell>
          <cell r="AH101" t="str">
            <v/>
          </cell>
          <cell r="AM101" t="str">
            <v/>
          </cell>
          <cell r="AR101" t="str">
            <v/>
          </cell>
          <cell r="AX101" t="str">
            <v/>
          </cell>
          <cell r="AY101" t="str">
            <v/>
          </cell>
          <cell r="AZ101" t="str">
            <v/>
          </cell>
          <cell r="BA101" t="str">
            <v/>
          </cell>
          <cell r="BB101" t="str">
            <v/>
          </cell>
          <cell r="BC101" t="str">
            <v/>
          </cell>
          <cell r="BD101" t="str">
            <v/>
          </cell>
          <cell r="BE101" t="str">
            <v/>
          </cell>
          <cell r="BF101" t="str">
            <v/>
          </cell>
        </row>
        <row r="102">
          <cell r="B102" t="str">
            <v/>
          </cell>
          <cell r="C102" t="str">
            <v/>
          </cell>
          <cell r="D102" t="str">
            <v/>
          </cell>
          <cell r="I102" t="str">
            <v/>
          </cell>
          <cell r="N102" t="str">
            <v/>
          </cell>
          <cell r="S102" t="str">
            <v/>
          </cell>
          <cell r="X102" t="str">
            <v/>
          </cell>
          <cell r="AC102" t="str">
            <v/>
          </cell>
          <cell r="AH102" t="str">
            <v/>
          </cell>
          <cell r="AM102" t="str">
            <v/>
          </cell>
          <cell r="AR102" t="str">
            <v/>
          </cell>
          <cell r="AX102" t="str">
            <v/>
          </cell>
          <cell r="AY102" t="str">
            <v/>
          </cell>
          <cell r="AZ102" t="str">
            <v/>
          </cell>
          <cell r="BA102" t="str">
            <v/>
          </cell>
          <cell r="BB102" t="str">
            <v/>
          </cell>
          <cell r="BC102" t="str">
            <v/>
          </cell>
          <cell r="BD102" t="str">
            <v/>
          </cell>
          <cell r="BE102" t="str">
            <v/>
          </cell>
          <cell r="BF102" t="str">
            <v/>
          </cell>
        </row>
        <row r="103">
          <cell r="B103" t="str">
            <v/>
          </cell>
          <cell r="C103" t="str">
            <v/>
          </cell>
          <cell r="D103" t="str">
            <v/>
          </cell>
          <cell r="I103" t="str">
            <v/>
          </cell>
          <cell r="N103" t="str">
            <v/>
          </cell>
          <cell r="S103" t="str">
            <v/>
          </cell>
          <cell r="X103" t="str">
            <v/>
          </cell>
          <cell r="AC103" t="str">
            <v/>
          </cell>
          <cell r="AH103" t="str">
            <v/>
          </cell>
          <cell r="AM103" t="str">
            <v/>
          </cell>
          <cell r="AR103" t="str">
            <v/>
          </cell>
          <cell r="AX103" t="str">
            <v/>
          </cell>
          <cell r="AY103" t="str">
            <v/>
          </cell>
          <cell r="AZ103" t="str">
            <v/>
          </cell>
          <cell r="BA103" t="str">
            <v/>
          </cell>
          <cell r="BB103" t="str">
            <v/>
          </cell>
          <cell r="BC103" t="str">
            <v/>
          </cell>
          <cell r="BD103" t="str">
            <v/>
          </cell>
          <cell r="BE103" t="str">
            <v/>
          </cell>
          <cell r="BF103" t="str">
            <v/>
          </cell>
        </row>
        <row r="104">
          <cell r="B104" t="str">
            <v/>
          </cell>
          <cell r="C104" t="str">
            <v/>
          </cell>
          <cell r="D104" t="str">
            <v/>
          </cell>
          <cell r="I104" t="str">
            <v/>
          </cell>
          <cell r="N104" t="str">
            <v/>
          </cell>
          <cell r="S104" t="str">
            <v/>
          </cell>
          <cell r="X104" t="str">
            <v/>
          </cell>
          <cell r="AC104" t="str">
            <v/>
          </cell>
          <cell r="AH104" t="str">
            <v/>
          </cell>
          <cell r="AM104" t="str">
            <v/>
          </cell>
          <cell r="AR104" t="str">
            <v/>
          </cell>
          <cell r="AX104" t="str">
            <v/>
          </cell>
          <cell r="AY104" t="str">
            <v/>
          </cell>
          <cell r="AZ104" t="str">
            <v/>
          </cell>
          <cell r="BA104" t="str">
            <v/>
          </cell>
          <cell r="BB104" t="str">
            <v/>
          </cell>
          <cell r="BC104" t="str">
            <v/>
          </cell>
          <cell r="BD104" t="str">
            <v/>
          </cell>
          <cell r="BE104" t="str">
            <v/>
          </cell>
          <cell r="BF104" t="str">
            <v/>
          </cell>
        </row>
        <row r="105">
          <cell r="B105" t="str">
            <v/>
          </cell>
          <cell r="C105" t="str">
            <v/>
          </cell>
          <cell r="D105" t="str">
            <v/>
          </cell>
          <cell r="I105" t="str">
            <v/>
          </cell>
          <cell r="N105" t="str">
            <v/>
          </cell>
          <cell r="S105" t="str">
            <v/>
          </cell>
          <cell r="X105" t="str">
            <v/>
          </cell>
          <cell r="AC105" t="str">
            <v/>
          </cell>
          <cell r="AH105" t="str">
            <v/>
          </cell>
          <cell r="AM105" t="str">
            <v/>
          </cell>
          <cell r="AR105" t="str">
            <v/>
          </cell>
          <cell r="AX105" t="str">
            <v/>
          </cell>
          <cell r="AY105" t="str">
            <v/>
          </cell>
          <cell r="AZ105" t="str">
            <v/>
          </cell>
          <cell r="BA105" t="str">
            <v/>
          </cell>
          <cell r="BB105" t="str">
            <v/>
          </cell>
          <cell r="BC105" t="str">
            <v/>
          </cell>
          <cell r="BD105" t="str">
            <v/>
          </cell>
          <cell r="BE105" t="str">
            <v/>
          </cell>
          <cell r="BF105" t="str">
            <v/>
          </cell>
        </row>
        <row r="106">
          <cell r="B106" t="str">
            <v/>
          </cell>
          <cell r="C106" t="str">
            <v/>
          </cell>
          <cell r="D106" t="str">
            <v/>
          </cell>
          <cell r="I106" t="str">
            <v/>
          </cell>
          <cell r="N106" t="str">
            <v/>
          </cell>
          <cell r="S106" t="str">
            <v/>
          </cell>
          <cell r="X106" t="str">
            <v/>
          </cell>
          <cell r="AC106" t="str">
            <v/>
          </cell>
          <cell r="AH106" t="str">
            <v/>
          </cell>
          <cell r="AM106" t="str">
            <v/>
          </cell>
          <cell r="AR106" t="str">
            <v/>
          </cell>
          <cell r="AX106" t="str">
            <v/>
          </cell>
          <cell r="AY106" t="str">
            <v/>
          </cell>
          <cell r="AZ106" t="str">
            <v/>
          </cell>
          <cell r="BA106" t="str">
            <v/>
          </cell>
          <cell r="BB106" t="str">
            <v/>
          </cell>
          <cell r="BC106" t="str">
            <v/>
          </cell>
          <cell r="BD106" t="str">
            <v/>
          </cell>
          <cell r="BE106" t="str">
            <v/>
          </cell>
          <cell r="BF106" t="str">
            <v/>
          </cell>
        </row>
        <row r="107">
          <cell r="B107" t="str">
            <v/>
          </cell>
          <cell r="C107" t="str">
            <v/>
          </cell>
          <cell r="D107" t="str">
            <v/>
          </cell>
          <cell r="I107" t="str">
            <v/>
          </cell>
          <cell r="N107" t="str">
            <v/>
          </cell>
          <cell r="S107" t="str">
            <v/>
          </cell>
          <cell r="X107" t="str">
            <v/>
          </cell>
          <cell r="AC107" t="str">
            <v/>
          </cell>
          <cell r="AH107" t="str">
            <v/>
          </cell>
          <cell r="AM107" t="str">
            <v/>
          </cell>
          <cell r="AR107" t="str">
            <v/>
          </cell>
          <cell r="AX107" t="str">
            <v/>
          </cell>
          <cell r="AY107" t="str">
            <v/>
          </cell>
          <cell r="AZ107" t="str">
            <v/>
          </cell>
          <cell r="BA107" t="str">
            <v/>
          </cell>
          <cell r="BB107" t="str">
            <v/>
          </cell>
          <cell r="BC107" t="str">
            <v/>
          </cell>
          <cell r="BD107" t="str">
            <v/>
          </cell>
          <cell r="BE107" t="str">
            <v/>
          </cell>
          <cell r="BF107" t="str">
            <v/>
          </cell>
        </row>
        <row r="108">
          <cell r="B108" t="str">
            <v/>
          </cell>
          <cell r="C108" t="str">
            <v/>
          </cell>
          <cell r="D108" t="str">
            <v/>
          </cell>
          <cell r="I108" t="str">
            <v/>
          </cell>
          <cell r="N108" t="str">
            <v/>
          </cell>
          <cell r="S108" t="str">
            <v/>
          </cell>
          <cell r="X108" t="str">
            <v/>
          </cell>
          <cell r="AC108" t="str">
            <v/>
          </cell>
          <cell r="AH108" t="str">
            <v/>
          </cell>
          <cell r="AM108" t="str">
            <v/>
          </cell>
          <cell r="AR108" t="str">
            <v/>
          </cell>
          <cell r="AX108" t="str">
            <v/>
          </cell>
          <cell r="AY108" t="str">
            <v/>
          </cell>
          <cell r="AZ108" t="str">
            <v/>
          </cell>
          <cell r="BA108" t="str">
            <v/>
          </cell>
          <cell r="BB108" t="str">
            <v/>
          </cell>
          <cell r="BC108" t="str">
            <v/>
          </cell>
          <cell r="BD108" t="str">
            <v/>
          </cell>
          <cell r="BE108" t="str">
            <v/>
          </cell>
          <cell r="BF108" t="str">
            <v/>
          </cell>
        </row>
        <row r="109">
          <cell r="B109" t="str">
            <v/>
          </cell>
          <cell r="C109" t="str">
            <v/>
          </cell>
          <cell r="D109" t="str">
            <v/>
          </cell>
          <cell r="I109" t="str">
            <v/>
          </cell>
          <cell r="N109" t="str">
            <v/>
          </cell>
          <cell r="S109" t="str">
            <v/>
          </cell>
          <cell r="X109" t="str">
            <v/>
          </cell>
          <cell r="AC109" t="str">
            <v/>
          </cell>
          <cell r="AH109" t="str">
            <v/>
          </cell>
          <cell r="AM109" t="str">
            <v/>
          </cell>
          <cell r="AR109" t="str">
            <v/>
          </cell>
          <cell r="AX109" t="str">
            <v/>
          </cell>
          <cell r="AY109" t="str">
            <v/>
          </cell>
          <cell r="AZ109" t="str">
            <v/>
          </cell>
          <cell r="BA109" t="str">
            <v/>
          </cell>
          <cell r="BB109" t="str">
            <v/>
          </cell>
          <cell r="BC109" t="str">
            <v/>
          </cell>
          <cell r="BD109" t="str">
            <v/>
          </cell>
          <cell r="BE109" t="str">
            <v/>
          </cell>
          <cell r="BF109" t="str">
            <v/>
          </cell>
        </row>
        <row r="110">
          <cell r="B110" t="str">
            <v/>
          </cell>
          <cell r="C110" t="str">
            <v/>
          </cell>
          <cell r="D110" t="str">
            <v/>
          </cell>
          <cell r="I110" t="str">
            <v/>
          </cell>
          <cell r="N110" t="str">
            <v/>
          </cell>
          <cell r="S110" t="str">
            <v/>
          </cell>
          <cell r="X110" t="str">
            <v/>
          </cell>
          <cell r="AC110" t="str">
            <v/>
          </cell>
          <cell r="AH110" t="str">
            <v/>
          </cell>
          <cell r="AM110" t="str">
            <v/>
          </cell>
          <cell r="AR110" t="str">
            <v/>
          </cell>
          <cell r="AX110" t="str">
            <v/>
          </cell>
          <cell r="AY110" t="str">
            <v/>
          </cell>
          <cell r="AZ110" t="str">
            <v/>
          </cell>
          <cell r="BA110" t="str">
            <v/>
          </cell>
          <cell r="BB110" t="str">
            <v/>
          </cell>
          <cell r="BC110" t="str">
            <v/>
          </cell>
          <cell r="BD110" t="str">
            <v/>
          </cell>
          <cell r="BE110" t="str">
            <v/>
          </cell>
          <cell r="BF110" t="str">
            <v/>
          </cell>
        </row>
        <row r="111">
          <cell r="B111" t="str">
            <v/>
          </cell>
          <cell r="C111" t="str">
            <v/>
          </cell>
          <cell r="D111" t="str">
            <v/>
          </cell>
          <cell r="I111" t="str">
            <v/>
          </cell>
          <cell r="N111" t="str">
            <v/>
          </cell>
          <cell r="S111" t="str">
            <v/>
          </cell>
          <cell r="X111" t="str">
            <v/>
          </cell>
          <cell r="AC111" t="str">
            <v/>
          </cell>
          <cell r="AH111" t="str">
            <v/>
          </cell>
          <cell r="AM111" t="str">
            <v/>
          </cell>
          <cell r="AR111" t="str">
            <v/>
          </cell>
          <cell r="AX111" t="str">
            <v/>
          </cell>
          <cell r="AY111" t="str">
            <v/>
          </cell>
          <cell r="AZ111" t="str">
            <v/>
          </cell>
          <cell r="BA111" t="str">
            <v/>
          </cell>
          <cell r="BB111" t="str">
            <v/>
          </cell>
          <cell r="BC111" t="str">
            <v/>
          </cell>
          <cell r="BD111" t="str">
            <v/>
          </cell>
          <cell r="BE111" t="str">
            <v/>
          </cell>
          <cell r="BF111" t="str">
            <v/>
          </cell>
        </row>
        <row r="112">
          <cell r="B112" t="str">
            <v/>
          </cell>
          <cell r="C112" t="str">
            <v/>
          </cell>
          <cell r="D112" t="str">
            <v/>
          </cell>
          <cell r="I112" t="str">
            <v/>
          </cell>
          <cell r="N112" t="str">
            <v/>
          </cell>
          <cell r="S112" t="str">
            <v/>
          </cell>
          <cell r="X112" t="str">
            <v/>
          </cell>
          <cell r="AC112" t="str">
            <v/>
          </cell>
          <cell r="AH112" t="str">
            <v/>
          </cell>
          <cell r="AM112" t="str">
            <v/>
          </cell>
          <cell r="AR112" t="str">
            <v/>
          </cell>
          <cell r="AX112" t="str">
            <v/>
          </cell>
          <cell r="AY112" t="str">
            <v/>
          </cell>
          <cell r="AZ112" t="str">
            <v/>
          </cell>
          <cell r="BA112" t="str">
            <v/>
          </cell>
          <cell r="BB112" t="str">
            <v/>
          </cell>
          <cell r="BC112" t="str">
            <v/>
          </cell>
          <cell r="BD112" t="str">
            <v/>
          </cell>
          <cell r="BE112" t="str">
            <v/>
          </cell>
          <cell r="BF112" t="str">
            <v/>
          </cell>
        </row>
        <row r="113">
          <cell r="B113" t="str">
            <v/>
          </cell>
          <cell r="C113" t="str">
            <v/>
          </cell>
          <cell r="D113" t="str">
            <v/>
          </cell>
          <cell r="I113" t="str">
            <v/>
          </cell>
          <cell r="N113" t="str">
            <v/>
          </cell>
          <cell r="S113" t="str">
            <v/>
          </cell>
          <cell r="X113" t="str">
            <v/>
          </cell>
          <cell r="AC113" t="str">
            <v/>
          </cell>
          <cell r="AH113" t="str">
            <v/>
          </cell>
          <cell r="AM113" t="str">
            <v/>
          </cell>
          <cell r="AR113" t="str">
            <v/>
          </cell>
          <cell r="AX113" t="str">
            <v/>
          </cell>
          <cell r="AY113" t="str">
            <v/>
          </cell>
          <cell r="AZ113" t="str">
            <v/>
          </cell>
          <cell r="BA113" t="str">
            <v/>
          </cell>
          <cell r="BB113" t="str">
            <v/>
          </cell>
          <cell r="BC113" t="str">
            <v/>
          </cell>
          <cell r="BD113" t="str">
            <v/>
          </cell>
          <cell r="BE113" t="str">
            <v/>
          </cell>
          <cell r="BF113" t="str">
            <v/>
          </cell>
        </row>
        <row r="114">
          <cell r="B114" t="str">
            <v/>
          </cell>
          <cell r="C114" t="str">
            <v/>
          </cell>
          <cell r="D114" t="str">
            <v/>
          </cell>
          <cell r="I114" t="str">
            <v/>
          </cell>
          <cell r="N114" t="str">
            <v/>
          </cell>
          <cell r="S114" t="str">
            <v/>
          </cell>
          <cell r="X114" t="str">
            <v/>
          </cell>
          <cell r="AC114" t="str">
            <v/>
          </cell>
          <cell r="AH114" t="str">
            <v/>
          </cell>
          <cell r="AM114" t="str">
            <v/>
          </cell>
          <cell r="AR114" t="str">
            <v/>
          </cell>
          <cell r="AX114" t="str">
            <v/>
          </cell>
          <cell r="AY114" t="str">
            <v/>
          </cell>
          <cell r="AZ114" t="str">
            <v/>
          </cell>
          <cell r="BA114" t="str">
            <v/>
          </cell>
          <cell r="BB114" t="str">
            <v/>
          </cell>
          <cell r="BC114" t="str">
            <v/>
          </cell>
          <cell r="BD114" t="str">
            <v/>
          </cell>
          <cell r="BE114" t="str">
            <v/>
          </cell>
          <cell r="BF114" t="str">
            <v/>
          </cell>
        </row>
        <row r="115">
          <cell r="B115" t="str">
            <v/>
          </cell>
          <cell r="C115" t="str">
            <v/>
          </cell>
          <cell r="D115" t="str">
            <v/>
          </cell>
          <cell r="I115" t="str">
            <v/>
          </cell>
          <cell r="N115" t="str">
            <v/>
          </cell>
          <cell r="S115" t="str">
            <v/>
          </cell>
          <cell r="X115" t="str">
            <v/>
          </cell>
          <cell r="AC115" t="str">
            <v/>
          </cell>
          <cell r="AH115" t="str">
            <v/>
          </cell>
          <cell r="AM115" t="str">
            <v/>
          </cell>
          <cell r="AR115" t="str">
            <v/>
          </cell>
          <cell r="AX115" t="str">
            <v/>
          </cell>
          <cell r="AY115" t="str">
            <v/>
          </cell>
          <cell r="AZ115" t="str">
            <v/>
          </cell>
          <cell r="BA115" t="str">
            <v/>
          </cell>
          <cell r="BB115" t="str">
            <v/>
          </cell>
          <cell r="BC115" t="str">
            <v/>
          </cell>
          <cell r="BD115" t="str">
            <v/>
          </cell>
          <cell r="BE115" t="str">
            <v/>
          </cell>
          <cell r="BF115" t="str">
            <v/>
          </cell>
        </row>
        <row r="116">
          <cell r="B116" t="str">
            <v/>
          </cell>
          <cell r="C116" t="str">
            <v/>
          </cell>
          <cell r="D116" t="str">
            <v/>
          </cell>
          <cell r="I116" t="str">
            <v/>
          </cell>
          <cell r="N116" t="str">
            <v/>
          </cell>
          <cell r="S116" t="str">
            <v/>
          </cell>
          <cell r="X116" t="str">
            <v/>
          </cell>
          <cell r="AC116" t="str">
            <v/>
          </cell>
          <cell r="AH116" t="str">
            <v/>
          </cell>
          <cell r="AM116" t="str">
            <v/>
          </cell>
          <cell r="AR116" t="str">
            <v/>
          </cell>
          <cell r="AX116" t="str">
            <v/>
          </cell>
          <cell r="AY116" t="str">
            <v/>
          </cell>
          <cell r="AZ116" t="str">
            <v/>
          </cell>
          <cell r="BA116" t="str">
            <v/>
          </cell>
          <cell r="BB116" t="str">
            <v/>
          </cell>
          <cell r="BC116" t="str">
            <v/>
          </cell>
          <cell r="BD116" t="str">
            <v/>
          </cell>
          <cell r="BE116" t="str">
            <v/>
          </cell>
          <cell r="BF116" t="str">
            <v/>
          </cell>
        </row>
        <row r="117">
          <cell r="B117" t="str">
            <v/>
          </cell>
          <cell r="C117" t="str">
            <v/>
          </cell>
          <cell r="D117" t="str">
            <v/>
          </cell>
          <cell r="I117" t="str">
            <v/>
          </cell>
          <cell r="N117" t="str">
            <v/>
          </cell>
          <cell r="S117" t="str">
            <v/>
          </cell>
          <cell r="X117" t="str">
            <v/>
          </cell>
          <cell r="AC117" t="str">
            <v/>
          </cell>
          <cell r="AH117" t="str">
            <v/>
          </cell>
          <cell r="AM117" t="str">
            <v/>
          </cell>
          <cell r="AR117" t="str">
            <v/>
          </cell>
          <cell r="AX117" t="str">
            <v/>
          </cell>
          <cell r="AY117" t="str">
            <v/>
          </cell>
          <cell r="AZ117" t="str">
            <v/>
          </cell>
          <cell r="BA117" t="str">
            <v/>
          </cell>
          <cell r="BB117" t="str">
            <v/>
          </cell>
          <cell r="BC117" t="str">
            <v/>
          </cell>
          <cell r="BD117" t="str">
            <v/>
          </cell>
          <cell r="BE117" t="str">
            <v/>
          </cell>
          <cell r="BF117" t="str">
            <v/>
          </cell>
        </row>
        <row r="118">
          <cell r="B118" t="str">
            <v/>
          </cell>
          <cell r="C118" t="str">
            <v/>
          </cell>
          <cell r="D118" t="str">
            <v/>
          </cell>
          <cell r="I118" t="str">
            <v/>
          </cell>
          <cell r="N118" t="str">
            <v/>
          </cell>
          <cell r="S118" t="str">
            <v/>
          </cell>
          <cell r="X118" t="str">
            <v/>
          </cell>
          <cell r="AC118" t="str">
            <v/>
          </cell>
          <cell r="AH118" t="str">
            <v/>
          </cell>
          <cell r="AM118" t="str">
            <v/>
          </cell>
          <cell r="AR118" t="str">
            <v/>
          </cell>
          <cell r="AX118" t="str">
            <v/>
          </cell>
          <cell r="AY118" t="str">
            <v/>
          </cell>
          <cell r="AZ118" t="str">
            <v/>
          </cell>
          <cell r="BA118" t="str">
            <v/>
          </cell>
          <cell r="BB118" t="str">
            <v/>
          </cell>
          <cell r="BC118" t="str">
            <v/>
          </cell>
          <cell r="BD118" t="str">
            <v/>
          </cell>
          <cell r="BE118" t="str">
            <v/>
          </cell>
          <cell r="BF118" t="str">
            <v/>
          </cell>
        </row>
        <row r="119">
          <cell r="B119" t="str">
            <v/>
          </cell>
          <cell r="C119" t="str">
            <v/>
          </cell>
          <cell r="D119" t="str">
            <v/>
          </cell>
          <cell r="I119" t="str">
            <v/>
          </cell>
          <cell r="N119" t="str">
            <v/>
          </cell>
          <cell r="S119" t="str">
            <v/>
          </cell>
          <cell r="X119" t="str">
            <v/>
          </cell>
          <cell r="AC119" t="str">
            <v/>
          </cell>
          <cell r="AH119" t="str">
            <v/>
          </cell>
          <cell r="AM119" t="str">
            <v/>
          </cell>
          <cell r="AR119" t="str">
            <v/>
          </cell>
          <cell r="AX119" t="str">
            <v/>
          </cell>
          <cell r="AY119" t="str">
            <v/>
          </cell>
          <cell r="AZ119" t="str">
            <v/>
          </cell>
          <cell r="BA119" t="str">
            <v/>
          </cell>
          <cell r="BB119" t="str">
            <v/>
          </cell>
          <cell r="BC119" t="str">
            <v/>
          </cell>
          <cell r="BD119" t="str">
            <v/>
          </cell>
          <cell r="BE119" t="str">
            <v/>
          </cell>
          <cell r="BF119" t="str">
            <v/>
          </cell>
        </row>
        <row r="120">
          <cell r="B120" t="str">
            <v/>
          </cell>
          <cell r="C120" t="str">
            <v/>
          </cell>
          <cell r="D120" t="str">
            <v/>
          </cell>
          <cell r="I120" t="str">
            <v/>
          </cell>
          <cell r="N120" t="str">
            <v/>
          </cell>
          <cell r="S120" t="str">
            <v/>
          </cell>
          <cell r="X120" t="str">
            <v/>
          </cell>
          <cell r="AC120" t="str">
            <v/>
          </cell>
          <cell r="AH120" t="str">
            <v/>
          </cell>
          <cell r="AM120" t="str">
            <v/>
          </cell>
          <cell r="AR120" t="str">
            <v/>
          </cell>
          <cell r="AX120" t="str">
            <v/>
          </cell>
          <cell r="AY120" t="str">
            <v/>
          </cell>
          <cell r="AZ120" t="str">
            <v/>
          </cell>
          <cell r="BA120" t="str">
            <v/>
          </cell>
          <cell r="BB120" t="str">
            <v/>
          </cell>
          <cell r="BC120" t="str">
            <v/>
          </cell>
          <cell r="BD120" t="str">
            <v/>
          </cell>
          <cell r="BE120" t="str">
            <v/>
          </cell>
          <cell r="BF120" t="str">
            <v/>
          </cell>
        </row>
        <row r="121">
          <cell r="B121" t="str">
            <v/>
          </cell>
          <cell r="C121" t="str">
            <v/>
          </cell>
          <cell r="D121" t="str">
            <v/>
          </cell>
          <cell r="I121" t="str">
            <v/>
          </cell>
          <cell r="N121" t="str">
            <v/>
          </cell>
          <cell r="S121" t="str">
            <v/>
          </cell>
          <cell r="X121" t="str">
            <v/>
          </cell>
          <cell r="AC121" t="str">
            <v/>
          </cell>
          <cell r="AH121" t="str">
            <v/>
          </cell>
          <cell r="AM121" t="str">
            <v/>
          </cell>
          <cell r="AR121" t="str">
            <v/>
          </cell>
          <cell r="AX121" t="str">
            <v/>
          </cell>
          <cell r="AY121" t="str">
            <v/>
          </cell>
          <cell r="AZ121" t="str">
            <v/>
          </cell>
          <cell r="BA121" t="str">
            <v/>
          </cell>
          <cell r="BB121" t="str">
            <v/>
          </cell>
          <cell r="BC121" t="str">
            <v/>
          </cell>
          <cell r="BD121" t="str">
            <v/>
          </cell>
          <cell r="BE121" t="str">
            <v/>
          </cell>
          <cell r="BF121" t="str">
            <v/>
          </cell>
        </row>
        <row r="122">
          <cell r="B122" t="str">
            <v/>
          </cell>
          <cell r="C122" t="str">
            <v/>
          </cell>
          <cell r="D122" t="str">
            <v/>
          </cell>
          <cell r="I122" t="str">
            <v/>
          </cell>
          <cell r="N122" t="str">
            <v/>
          </cell>
          <cell r="S122" t="str">
            <v/>
          </cell>
          <cell r="X122" t="str">
            <v/>
          </cell>
          <cell r="AC122" t="str">
            <v/>
          </cell>
          <cell r="AH122" t="str">
            <v/>
          </cell>
          <cell r="AM122" t="str">
            <v/>
          </cell>
          <cell r="AR122" t="str">
            <v/>
          </cell>
          <cell r="AX122" t="str">
            <v/>
          </cell>
          <cell r="AY122" t="str">
            <v/>
          </cell>
          <cell r="AZ122" t="str">
            <v/>
          </cell>
          <cell r="BA122" t="str">
            <v/>
          </cell>
          <cell r="BB122" t="str">
            <v/>
          </cell>
          <cell r="BC122" t="str">
            <v/>
          </cell>
          <cell r="BD122" t="str">
            <v/>
          </cell>
          <cell r="BE122" t="str">
            <v/>
          </cell>
          <cell r="BF122" t="str">
            <v/>
          </cell>
        </row>
        <row r="123">
          <cell r="B123" t="str">
            <v/>
          </cell>
          <cell r="C123" t="str">
            <v/>
          </cell>
          <cell r="D123" t="str">
            <v/>
          </cell>
          <cell r="I123" t="str">
            <v/>
          </cell>
          <cell r="N123" t="str">
            <v/>
          </cell>
          <cell r="S123" t="str">
            <v/>
          </cell>
          <cell r="X123" t="str">
            <v/>
          </cell>
          <cell r="AC123" t="str">
            <v/>
          </cell>
          <cell r="AH123" t="str">
            <v/>
          </cell>
          <cell r="AM123" t="str">
            <v/>
          </cell>
          <cell r="AR123" t="str">
            <v/>
          </cell>
          <cell r="AX123" t="str">
            <v/>
          </cell>
          <cell r="AY123" t="str">
            <v/>
          </cell>
          <cell r="AZ123" t="str">
            <v/>
          </cell>
          <cell r="BA123" t="str">
            <v/>
          </cell>
          <cell r="BB123" t="str">
            <v/>
          </cell>
          <cell r="BC123" t="str">
            <v/>
          </cell>
          <cell r="BD123" t="str">
            <v/>
          </cell>
          <cell r="BE123" t="str">
            <v/>
          </cell>
          <cell r="BF123" t="str">
            <v/>
          </cell>
        </row>
        <row r="124">
          <cell r="B124" t="str">
            <v/>
          </cell>
          <cell r="C124" t="str">
            <v/>
          </cell>
          <cell r="D124" t="str">
            <v/>
          </cell>
          <cell r="I124" t="str">
            <v/>
          </cell>
          <cell r="N124" t="str">
            <v/>
          </cell>
          <cell r="S124" t="str">
            <v/>
          </cell>
          <cell r="X124" t="str">
            <v/>
          </cell>
          <cell r="AC124" t="str">
            <v/>
          </cell>
          <cell r="AH124" t="str">
            <v/>
          </cell>
          <cell r="AM124" t="str">
            <v/>
          </cell>
          <cell r="AR124" t="str">
            <v/>
          </cell>
          <cell r="AX124" t="str">
            <v/>
          </cell>
          <cell r="AY124" t="str">
            <v/>
          </cell>
          <cell r="AZ124" t="str">
            <v/>
          </cell>
          <cell r="BA124" t="str">
            <v/>
          </cell>
          <cell r="BB124" t="str">
            <v/>
          </cell>
          <cell r="BC124" t="str">
            <v/>
          </cell>
          <cell r="BD124" t="str">
            <v/>
          </cell>
          <cell r="BE124" t="str">
            <v/>
          </cell>
          <cell r="BF124" t="str">
            <v/>
          </cell>
        </row>
        <row r="125">
          <cell r="B125" t="str">
            <v/>
          </cell>
          <cell r="C125" t="str">
            <v/>
          </cell>
          <cell r="D125" t="str">
            <v/>
          </cell>
          <cell r="I125" t="str">
            <v/>
          </cell>
          <cell r="N125" t="str">
            <v/>
          </cell>
          <cell r="S125" t="str">
            <v/>
          </cell>
          <cell r="X125" t="str">
            <v/>
          </cell>
          <cell r="AC125" t="str">
            <v/>
          </cell>
          <cell r="AH125" t="str">
            <v/>
          </cell>
          <cell r="AM125" t="str">
            <v/>
          </cell>
          <cell r="AR125" t="str">
            <v/>
          </cell>
          <cell r="AX125" t="str">
            <v/>
          </cell>
          <cell r="AY125" t="str">
            <v/>
          </cell>
          <cell r="AZ125" t="str">
            <v/>
          </cell>
          <cell r="BA125" t="str">
            <v/>
          </cell>
          <cell r="BB125" t="str">
            <v/>
          </cell>
          <cell r="BC125" t="str">
            <v/>
          </cell>
          <cell r="BD125" t="str">
            <v/>
          </cell>
          <cell r="BE125" t="str">
            <v/>
          </cell>
          <cell r="BF125" t="str">
            <v/>
          </cell>
        </row>
        <row r="126">
          <cell r="B126" t="str">
            <v/>
          </cell>
          <cell r="C126" t="str">
            <v/>
          </cell>
          <cell r="D126" t="str">
            <v/>
          </cell>
          <cell r="I126" t="str">
            <v/>
          </cell>
          <cell r="N126" t="str">
            <v/>
          </cell>
          <cell r="S126" t="str">
            <v/>
          </cell>
          <cell r="X126" t="str">
            <v/>
          </cell>
          <cell r="AC126" t="str">
            <v/>
          </cell>
          <cell r="AH126" t="str">
            <v/>
          </cell>
          <cell r="AM126" t="str">
            <v/>
          </cell>
          <cell r="AR126" t="str">
            <v/>
          </cell>
          <cell r="AX126" t="str">
            <v/>
          </cell>
          <cell r="AY126" t="str">
            <v/>
          </cell>
          <cell r="AZ126" t="str">
            <v/>
          </cell>
          <cell r="BA126" t="str">
            <v/>
          </cell>
          <cell r="BB126" t="str">
            <v/>
          </cell>
          <cell r="BC126" t="str">
            <v/>
          </cell>
          <cell r="BD126" t="str">
            <v/>
          </cell>
          <cell r="BE126" t="str">
            <v/>
          </cell>
          <cell r="BF126" t="str">
            <v/>
          </cell>
        </row>
        <row r="127">
          <cell r="B127" t="str">
            <v/>
          </cell>
          <cell r="C127" t="str">
            <v/>
          </cell>
          <cell r="D127" t="str">
            <v/>
          </cell>
          <cell r="I127" t="str">
            <v/>
          </cell>
          <cell r="N127" t="str">
            <v/>
          </cell>
          <cell r="S127" t="str">
            <v/>
          </cell>
          <cell r="X127" t="str">
            <v/>
          </cell>
          <cell r="AC127" t="str">
            <v/>
          </cell>
          <cell r="AH127" t="str">
            <v/>
          </cell>
          <cell r="AM127" t="str">
            <v/>
          </cell>
          <cell r="AR127" t="str">
            <v/>
          </cell>
          <cell r="AX127" t="str">
            <v/>
          </cell>
          <cell r="AY127" t="str">
            <v/>
          </cell>
          <cell r="AZ127" t="str">
            <v/>
          </cell>
          <cell r="BA127" t="str">
            <v/>
          </cell>
          <cell r="BB127" t="str">
            <v/>
          </cell>
          <cell r="BC127" t="str">
            <v/>
          </cell>
          <cell r="BD127" t="str">
            <v/>
          </cell>
          <cell r="BE127" t="str">
            <v/>
          </cell>
          <cell r="BF127" t="str">
            <v/>
          </cell>
        </row>
        <row r="128">
          <cell r="B128" t="str">
            <v/>
          </cell>
          <cell r="C128" t="str">
            <v/>
          </cell>
          <cell r="D128" t="str">
            <v/>
          </cell>
          <cell r="I128" t="str">
            <v/>
          </cell>
          <cell r="N128" t="str">
            <v/>
          </cell>
          <cell r="S128" t="str">
            <v/>
          </cell>
          <cell r="X128" t="str">
            <v/>
          </cell>
          <cell r="AC128" t="str">
            <v/>
          </cell>
          <cell r="AH128" t="str">
            <v/>
          </cell>
          <cell r="AM128" t="str">
            <v/>
          </cell>
          <cell r="AR128" t="str">
            <v/>
          </cell>
          <cell r="AX128" t="str">
            <v/>
          </cell>
          <cell r="AY128" t="str">
            <v/>
          </cell>
          <cell r="AZ128" t="str">
            <v/>
          </cell>
          <cell r="BA128" t="str">
            <v/>
          </cell>
          <cell r="BB128" t="str">
            <v/>
          </cell>
          <cell r="BC128" t="str">
            <v/>
          </cell>
          <cell r="BD128" t="str">
            <v/>
          </cell>
          <cell r="BE128" t="str">
            <v/>
          </cell>
          <cell r="BF128" t="str">
            <v/>
          </cell>
        </row>
        <row r="129">
          <cell r="B129" t="str">
            <v/>
          </cell>
          <cell r="C129" t="str">
            <v/>
          </cell>
          <cell r="D129" t="str">
            <v/>
          </cell>
          <cell r="I129" t="str">
            <v/>
          </cell>
          <cell r="N129" t="str">
            <v/>
          </cell>
          <cell r="S129" t="str">
            <v/>
          </cell>
          <cell r="X129" t="str">
            <v/>
          </cell>
          <cell r="AC129" t="str">
            <v/>
          </cell>
          <cell r="AH129" t="str">
            <v/>
          </cell>
          <cell r="AM129" t="str">
            <v/>
          </cell>
          <cell r="AR129" t="str">
            <v/>
          </cell>
          <cell r="AX129" t="str">
            <v/>
          </cell>
          <cell r="AY129" t="str">
            <v/>
          </cell>
          <cell r="AZ129" t="str">
            <v/>
          </cell>
          <cell r="BA129" t="str">
            <v/>
          </cell>
          <cell r="BB129" t="str">
            <v/>
          </cell>
          <cell r="BC129" t="str">
            <v/>
          </cell>
          <cell r="BD129" t="str">
            <v/>
          </cell>
          <cell r="BE129" t="str">
            <v/>
          </cell>
          <cell r="BF129" t="str">
            <v/>
          </cell>
        </row>
        <row r="130">
          <cell r="B130" t="str">
            <v/>
          </cell>
          <cell r="C130" t="str">
            <v/>
          </cell>
          <cell r="D130" t="str">
            <v/>
          </cell>
          <cell r="I130" t="str">
            <v/>
          </cell>
          <cell r="N130" t="str">
            <v/>
          </cell>
          <cell r="S130" t="str">
            <v/>
          </cell>
          <cell r="X130" t="str">
            <v/>
          </cell>
          <cell r="AC130" t="str">
            <v/>
          </cell>
          <cell r="AH130" t="str">
            <v/>
          </cell>
          <cell r="AM130" t="str">
            <v/>
          </cell>
          <cell r="AR130" t="str">
            <v/>
          </cell>
          <cell r="AX130" t="str">
            <v/>
          </cell>
          <cell r="AY130" t="str">
            <v/>
          </cell>
          <cell r="AZ130" t="str">
            <v/>
          </cell>
          <cell r="BA130" t="str">
            <v/>
          </cell>
          <cell r="BB130" t="str">
            <v/>
          </cell>
          <cell r="BC130" t="str">
            <v/>
          </cell>
          <cell r="BD130" t="str">
            <v/>
          </cell>
          <cell r="BE130" t="str">
            <v/>
          </cell>
          <cell r="BF130" t="str">
            <v/>
          </cell>
        </row>
        <row r="131">
          <cell r="B131" t="str">
            <v/>
          </cell>
          <cell r="C131" t="str">
            <v/>
          </cell>
          <cell r="D131" t="str">
            <v/>
          </cell>
          <cell r="I131" t="str">
            <v/>
          </cell>
          <cell r="N131" t="str">
            <v/>
          </cell>
          <cell r="S131" t="str">
            <v/>
          </cell>
          <cell r="X131" t="str">
            <v/>
          </cell>
          <cell r="AC131" t="str">
            <v/>
          </cell>
          <cell r="AH131" t="str">
            <v/>
          </cell>
          <cell r="AM131" t="str">
            <v/>
          </cell>
          <cell r="AR131" t="str">
            <v/>
          </cell>
          <cell r="AX131" t="str">
            <v/>
          </cell>
          <cell r="AY131" t="str">
            <v/>
          </cell>
          <cell r="AZ131" t="str">
            <v/>
          </cell>
          <cell r="BA131" t="str">
            <v/>
          </cell>
          <cell r="BB131" t="str">
            <v/>
          </cell>
          <cell r="BC131" t="str">
            <v/>
          </cell>
          <cell r="BD131" t="str">
            <v/>
          </cell>
          <cell r="BE131" t="str">
            <v/>
          </cell>
          <cell r="BF131" t="str">
            <v/>
          </cell>
        </row>
        <row r="132">
          <cell r="B132" t="str">
            <v/>
          </cell>
          <cell r="C132" t="str">
            <v/>
          </cell>
          <cell r="D132" t="str">
            <v/>
          </cell>
          <cell r="I132" t="str">
            <v/>
          </cell>
          <cell r="N132" t="str">
            <v/>
          </cell>
          <cell r="S132" t="str">
            <v/>
          </cell>
          <cell r="X132" t="str">
            <v/>
          </cell>
          <cell r="AC132" t="str">
            <v/>
          </cell>
          <cell r="AH132" t="str">
            <v/>
          </cell>
          <cell r="AM132" t="str">
            <v/>
          </cell>
          <cell r="AR132" t="str">
            <v/>
          </cell>
          <cell r="AX132" t="str">
            <v/>
          </cell>
          <cell r="AY132" t="str">
            <v/>
          </cell>
          <cell r="AZ132" t="str">
            <v/>
          </cell>
          <cell r="BA132" t="str">
            <v/>
          </cell>
          <cell r="BB132" t="str">
            <v/>
          </cell>
          <cell r="BC132" t="str">
            <v/>
          </cell>
          <cell r="BD132" t="str">
            <v/>
          </cell>
          <cell r="BE132" t="str">
            <v/>
          </cell>
          <cell r="BF132" t="str">
            <v/>
          </cell>
        </row>
        <row r="133">
          <cell r="B133" t="str">
            <v/>
          </cell>
          <cell r="C133" t="str">
            <v/>
          </cell>
          <cell r="D133" t="str">
            <v/>
          </cell>
          <cell r="I133" t="str">
            <v/>
          </cell>
          <cell r="N133" t="str">
            <v/>
          </cell>
          <cell r="S133" t="str">
            <v/>
          </cell>
          <cell r="X133" t="str">
            <v/>
          </cell>
          <cell r="AC133" t="str">
            <v/>
          </cell>
          <cell r="AH133" t="str">
            <v/>
          </cell>
          <cell r="AM133" t="str">
            <v/>
          </cell>
          <cell r="AR133" t="str">
            <v/>
          </cell>
          <cell r="AX133" t="str">
            <v/>
          </cell>
          <cell r="AY133" t="str">
            <v/>
          </cell>
          <cell r="AZ133" t="str">
            <v/>
          </cell>
          <cell r="BA133" t="str">
            <v/>
          </cell>
          <cell r="BB133" t="str">
            <v/>
          </cell>
          <cell r="BC133" t="str">
            <v/>
          </cell>
          <cell r="BD133" t="str">
            <v/>
          </cell>
          <cell r="BE133" t="str">
            <v/>
          </cell>
          <cell r="BF133" t="str">
            <v/>
          </cell>
        </row>
        <row r="134">
          <cell r="B134" t="str">
            <v/>
          </cell>
          <cell r="C134" t="str">
            <v/>
          </cell>
          <cell r="D134" t="str">
            <v/>
          </cell>
          <cell r="I134" t="str">
            <v/>
          </cell>
          <cell r="N134" t="str">
            <v/>
          </cell>
          <cell r="S134" t="str">
            <v/>
          </cell>
          <cell r="X134" t="str">
            <v/>
          </cell>
          <cell r="AC134" t="str">
            <v/>
          </cell>
          <cell r="AH134" t="str">
            <v/>
          </cell>
          <cell r="AM134" t="str">
            <v/>
          </cell>
          <cell r="AR134" t="str">
            <v/>
          </cell>
          <cell r="AX134" t="str">
            <v/>
          </cell>
          <cell r="AY134" t="str">
            <v/>
          </cell>
          <cell r="AZ134" t="str">
            <v/>
          </cell>
          <cell r="BA134" t="str">
            <v/>
          </cell>
          <cell r="BB134" t="str">
            <v/>
          </cell>
          <cell r="BC134" t="str">
            <v/>
          </cell>
          <cell r="BD134" t="str">
            <v/>
          </cell>
          <cell r="BE134" t="str">
            <v/>
          </cell>
          <cell r="BF134" t="str">
            <v/>
          </cell>
        </row>
        <row r="135">
          <cell r="B135" t="str">
            <v/>
          </cell>
          <cell r="C135" t="str">
            <v/>
          </cell>
          <cell r="D135" t="str">
            <v/>
          </cell>
          <cell r="I135" t="str">
            <v/>
          </cell>
          <cell r="N135" t="str">
            <v/>
          </cell>
          <cell r="S135" t="str">
            <v/>
          </cell>
          <cell r="X135" t="str">
            <v/>
          </cell>
          <cell r="AC135" t="str">
            <v/>
          </cell>
          <cell r="AH135" t="str">
            <v/>
          </cell>
          <cell r="AM135" t="str">
            <v/>
          </cell>
          <cell r="AR135" t="str">
            <v/>
          </cell>
          <cell r="AX135" t="str">
            <v/>
          </cell>
          <cell r="AY135" t="str">
            <v/>
          </cell>
          <cell r="AZ135" t="str">
            <v/>
          </cell>
          <cell r="BA135" t="str">
            <v/>
          </cell>
          <cell r="BB135" t="str">
            <v/>
          </cell>
          <cell r="BC135" t="str">
            <v/>
          </cell>
          <cell r="BD135" t="str">
            <v/>
          </cell>
          <cell r="BE135" t="str">
            <v/>
          </cell>
          <cell r="BF135" t="str">
            <v/>
          </cell>
        </row>
        <row r="136">
          <cell r="B136" t="str">
            <v/>
          </cell>
          <cell r="C136" t="str">
            <v/>
          </cell>
          <cell r="D136" t="str">
            <v/>
          </cell>
          <cell r="I136" t="str">
            <v/>
          </cell>
          <cell r="N136" t="str">
            <v/>
          </cell>
          <cell r="S136" t="str">
            <v/>
          </cell>
          <cell r="X136" t="str">
            <v/>
          </cell>
          <cell r="AC136" t="str">
            <v/>
          </cell>
          <cell r="AH136" t="str">
            <v/>
          </cell>
          <cell r="AM136" t="str">
            <v/>
          </cell>
          <cell r="AR136" t="str">
            <v/>
          </cell>
          <cell r="AX136" t="str">
            <v/>
          </cell>
          <cell r="AY136" t="str">
            <v/>
          </cell>
          <cell r="AZ136" t="str">
            <v/>
          </cell>
          <cell r="BA136" t="str">
            <v/>
          </cell>
          <cell r="BB136" t="str">
            <v/>
          </cell>
          <cell r="BC136" t="str">
            <v/>
          </cell>
          <cell r="BD136" t="str">
            <v/>
          </cell>
          <cell r="BE136" t="str">
            <v/>
          </cell>
          <cell r="BF136" t="str">
            <v/>
          </cell>
        </row>
        <row r="137">
          <cell r="B137" t="str">
            <v/>
          </cell>
          <cell r="C137" t="str">
            <v/>
          </cell>
          <cell r="D137" t="str">
            <v/>
          </cell>
          <cell r="I137" t="str">
            <v/>
          </cell>
          <cell r="N137" t="str">
            <v/>
          </cell>
          <cell r="S137" t="str">
            <v/>
          </cell>
          <cell r="X137" t="str">
            <v/>
          </cell>
          <cell r="AC137" t="str">
            <v/>
          </cell>
          <cell r="AH137" t="str">
            <v/>
          </cell>
          <cell r="AM137" t="str">
            <v/>
          </cell>
          <cell r="AR137" t="str">
            <v/>
          </cell>
          <cell r="AX137" t="str">
            <v/>
          </cell>
          <cell r="AY137" t="str">
            <v/>
          </cell>
          <cell r="AZ137" t="str">
            <v/>
          </cell>
          <cell r="BA137" t="str">
            <v/>
          </cell>
          <cell r="BB137" t="str">
            <v/>
          </cell>
          <cell r="BC137" t="str">
            <v/>
          </cell>
          <cell r="BD137" t="str">
            <v/>
          </cell>
          <cell r="BE137" t="str">
            <v/>
          </cell>
          <cell r="BF137" t="str">
            <v/>
          </cell>
        </row>
        <row r="138">
          <cell r="B138" t="str">
            <v/>
          </cell>
          <cell r="C138" t="str">
            <v/>
          </cell>
          <cell r="D138" t="str">
            <v/>
          </cell>
          <cell r="I138" t="str">
            <v/>
          </cell>
          <cell r="N138" t="str">
            <v/>
          </cell>
          <cell r="S138" t="str">
            <v/>
          </cell>
          <cell r="X138" t="str">
            <v/>
          </cell>
          <cell r="AC138" t="str">
            <v/>
          </cell>
          <cell r="AH138" t="str">
            <v/>
          </cell>
          <cell r="AM138" t="str">
            <v/>
          </cell>
          <cell r="AR138" t="str">
            <v/>
          </cell>
          <cell r="AX138" t="str">
            <v/>
          </cell>
          <cell r="AY138" t="str">
            <v/>
          </cell>
          <cell r="AZ138" t="str">
            <v/>
          </cell>
          <cell r="BA138" t="str">
            <v/>
          </cell>
          <cell r="BB138" t="str">
            <v/>
          </cell>
          <cell r="BC138" t="str">
            <v/>
          </cell>
          <cell r="BD138" t="str">
            <v/>
          </cell>
          <cell r="BE138" t="str">
            <v/>
          </cell>
          <cell r="BF138" t="str">
            <v/>
          </cell>
        </row>
        <row r="139">
          <cell r="B139" t="str">
            <v/>
          </cell>
          <cell r="C139" t="str">
            <v/>
          </cell>
          <cell r="D139" t="str">
            <v/>
          </cell>
          <cell r="I139" t="str">
            <v/>
          </cell>
          <cell r="N139" t="str">
            <v/>
          </cell>
          <cell r="S139" t="str">
            <v/>
          </cell>
          <cell r="X139" t="str">
            <v/>
          </cell>
          <cell r="AC139" t="str">
            <v/>
          </cell>
          <cell r="AH139" t="str">
            <v/>
          </cell>
          <cell r="AM139" t="str">
            <v/>
          </cell>
          <cell r="AR139" t="str">
            <v/>
          </cell>
          <cell r="AX139" t="str">
            <v/>
          </cell>
          <cell r="AY139" t="str">
            <v/>
          </cell>
          <cell r="AZ139" t="str">
            <v/>
          </cell>
          <cell r="BA139" t="str">
            <v/>
          </cell>
          <cell r="BB139" t="str">
            <v/>
          </cell>
          <cell r="BC139" t="str">
            <v/>
          </cell>
          <cell r="BD139" t="str">
            <v/>
          </cell>
          <cell r="BE139" t="str">
            <v/>
          </cell>
          <cell r="BF139" t="str">
            <v/>
          </cell>
        </row>
        <row r="140">
          <cell r="B140" t="str">
            <v/>
          </cell>
          <cell r="C140" t="str">
            <v/>
          </cell>
          <cell r="D140" t="str">
            <v/>
          </cell>
          <cell r="I140" t="str">
            <v/>
          </cell>
          <cell r="N140" t="str">
            <v/>
          </cell>
          <cell r="S140" t="str">
            <v/>
          </cell>
          <cell r="X140" t="str">
            <v/>
          </cell>
          <cell r="AC140" t="str">
            <v/>
          </cell>
          <cell r="AH140" t="str">
            <v/>
          </cell>
          <cell r="AM140" t="str">
            <v/>
          </cell>
          <cell r="AR140" t="str">
            <v/>
          </cell>
          <cell r="AX140" t="str">
            <v/>
          </cell>
          <cell r="AY140" t="str">
            <v/>
          </cell>
          <cell r="AZ140" t="str">
            <v/>
          </cell>
          <cell r="BA140" t="str">
            <v/>
          </cell>
          <cell r="BB140" t="str">
            <v/>
          </cell>
          <cell r="BC140" t="str">
            <v/>
          </cell>
          <cell r="BD140" t="str">
            <v/>
          </cell>
          <cell r="BE140" t="str">
            <v/>
          </cell>
          <cell r="BF140" t="str">
            <v/>
          </cell>
        </row>
        <row r="141">
          <cell r="B141" t="str">
            <v/>
          </cell>
          <cell r="C141" t="str">
            <v/>
          </cell>
          <cell r="D141" t="str">
            <v/>
          </cell>
          <cell r="I141" t="str">
            <v/>
          </cell>
          <cell r="N141" t="str">
            <v/>
          </cell>
          <cell r="S141" t="str">
            <v/>
          </cell>
          <cell r="X141" t="str">
            <v/>
          </cell>
          <cell r="AC141" t="str">
            <v/>
          </cell>
          <cell r="AH141" t="str">
            <v/>
          </cell>
          <cell r="AM141" t="str">
            <v/>
          </cell>
          <cell r="AR141" t="str">
            <v/>
          </cell>
          <cell r="AX141" t="str">
            <v/>
          </cell>
          <cell r="AY141" t="str">
            <v/>
          </cell>
          <cell r="AZ141" t="str">
            <v/>
          </cell>
          <cell r="BA141" t="str">
            <v/>
          </cell>
          <cell r="BB141" t="str">
            <v/>
          </cell>
          <cell r="BC141" t="str">
            <v/>
          </cell>
          <cell r="BD141" t="str">
            <v/>
          </cell>
          <cell r="BE141" t="str">
            <v/>
          </cell>
          <cell r="BF141" t="str">
            <v/>
          </cell>
        </row>
        <row r="142">
          <cell r="B142" t="str">
            <v/>
          </cell>
          <cell r="C142" t="str">
            <v/>
          </cell>
          <cell r="D142" t="str">
            <v/>
          </cell>
          <cell r="I142" t="str">
            <v/>
          </cell>
          <cell r="N142" t="str">
            <v/>
          </cell>
          <cell r="S142" t="str">
            <v/>
          </cell>
          <cell r="X142" t="str">
            <v/>
          </cell>
          <cell r="AC142" t="str">
            <v/>
          </cell>
          <cell r="AH142" t="str">
            <v/>
          </cell>
          <cell r="AM142" t="str">
            <v/>
          </cell>
          <cell r="AR142" t="str">
            <v/>
          </cell>
          <cell r="AX142" t="str">
            <v/>
          </cell>
          <cell r="AY142" t="str">
            <v/>
          </cell>
          <cell r="AZ142" t="str">
            <v/>
          </cell>
          <cell r="BA142" t="str">
            <v/>
          </cell>
          <cell r="BB142" t="str">
            <v/>
          </cell>
          <cell r="BC142" t="str">
            <v/>
          </cell>
          <cell r="BD142" t="str">
            <v/>
          </cell>
          <cell r="BE142" t="str">
            <v/>
          </cell>
          <cell r="BF142" t="str">
            <v/>
          </cell>
        </row>
        <row r="143">
          <cell r="B143" t="str">
            <v/>
          </cell>
          <cell r="C143" t="str">
            <v/>
          </cell>
          <cell r="D143" t="str">
            <v/>
          </cell>
          <cell r="I143" t="str">
            <v/>
          </cell>
          <cell r="N143" t="str">
            <v/>
          </cell>
          <cell r="S143" t="str">
            <v/>
          </cell>
          <cell r="X143" t="str">
            <v/>
          </cell>
          <cell r="AC143" t="str">
            <v/>
          </cell>
          <cell r="AH143" t="str">
            <v/>
          </cell>
          <cell r="AM143" t="str">
            <v/>
          </cell>
          <cell r="AR143" t="str">
            <v/>
          </cell>
          <cell r="AX143" t="str">
            <v/>
          </cell>
          <cell r="AY143" t="str">
            <v/>
          </cell>
          <cell r="AZ143" t="str">
            <v/>
          </cell>
          <cell r="BA143" t="str">
            <v/>
          </cell>
          <cell r="BB143" t="str">
            <v/>
          </cell>
          <cell r="BC143" t="str">
            <v/>
          </cell>
          <cell r="BD143" t="str">
            <v/>
          </cell>
          <cell r="BE143" t="str">
            <v/>
          </cell>
          <cell r="BF143" t="str">
            <v/>
          </cell>
        </row>
      </sheetData>
      <sheetData sheetId="7" refreshError="1"/>
      <sheetData sheetId="8" refreshError="1">
        <row r="7">
          <cell r="B7">
            <v>1</v>
          </cell>
          <cell r="C7" t="str">
            <v>Dr. H. IDRUS ALWI, M.Pd</v>
          </cell>
          <cell r="D7">
            <v>0.9</v>
          </cell>
          <cell r="E7">
            <v>1</v>
          </cell>
          <cell r="F7">
            <v>100</v>
          </cell>
          <cell r="G7">
            <v>1</v>
          </cell>
          <cell r="I7">
            <v>6</v>
          </cell>
          <cell r="J7">
            <v>1</v>
          </cell>
          <cell r="K7">
            <v>85</v>
          </cell>
          <cell r="L7">
            <v>12</v>
          </cell>
          <cell r="N7">
            <v>9</v>
          </cell>
          <cell r="O7">
            <v>1</v>
          </cell>
          <cell r="P7">
            <v>80</v>
          </cell>
          <cell r="Q7">
            <v>12</v>
          </cell>
          <cell r="S7">
            <v>6</v>
          </cell>
          <cell r="T7">
            <v>1</v>
          </cell>
          <cell r="U7">
            <v>90</v>
          </cell>
          <cell r="V7">
            <v>12</v>
          </cell>
          <cell r="X7">
            <v>4.5</v>
          </cell>
          <cell r="Y7">
            <v>1</v>
          </cell>
          <cell r="Z7">
            <v>90</v>
          </cell>
          <cell r="AA7">
            <v>12</v>
          </cell>
          <cell r="AC7">
            <v>0.45</v>
          </cell>
          <cell r="AD7">
            <v>1</v>
          </cell>
          <cell r="AE7">
            <v>100</v>
          </cell>
          <cell r="AF7">
            <v>1</v>
          </cell>
          <cell r="AH7">
            <v>9</v>
          </cell>
          <cell r="AI7">
            <v>1</v>
          </cell>
          <cell r="AJ7">
            <v>90</v>
          </cell>
          <cell r="AK7">
            <v>12</v>
          </cell>
          <cell r="AM7">
            <v>0.9</v>
          </cell>
          <cell r="AN7">
            <v>1</v>
          </cell>
          <cell r="AO7">
            <v>80</v>
          </cell>
          <cell r="AP7">
            <v>1</v>
          </cell>
          <cell r="AR7">
            <v>1</v>
          </cell>
          <cell r="AS7">
            <v>1</v>
          </cell>
          <cell r="AT7">
            <v>100</v>
          </cell>
          <cell r="AU7">
            <v>12</v>
          </cell>
        </row>
        <row r="8">
          <cell r="B8">
            <v>2</v>
          </cell>
          <cell r="C8" t="str">
            <v>Drs. H. SUJANGI</v>
          </cell>
          <cell r="D8">
            <v>0.9</v>
          </cell>
          <cell r="E8">
            <v>1</v>
          </cell>
          <cell r="F8">
            <v>80</v>
          </cell>
          <cell r="G8">
            <v>1</v>
          </cell>
          <cell r="I8">
            <v>6</v>
          </cell>
          <cell r="J8">
            <v>1</v>
          </cell>
          <cell r="K8">
            <v>80</v>
          </cell>
          <cell r="L8">
            <v>12</v>
          </cell>
          <cell r="N8">
            <v>9</v>
          </cell>
          <cell r="O8">
            <v>1</v>
          </cell>
          <cell r="P8">
            <v>80</v>
          </cell>
          <cell r="Q8">
            <v>12</v>
          </cell>
          <cell r="S8">
            <v>6</v>
          </cell>
          <cell r="T8">
            <v>1</v>
          </cell>
          <cell r="U8">
            <v>76</v>
          </cell>
          <cell r="V8">
            <v>12</v>
          </cell>
          <cell r="X8">
            <v>4.5</v>
          </cell>
          <cell r="Y8">
            <v>1</v>
          </cell>
          <cell r="Z8">
            <v>80</v>
          </cell>
          <cell r="AA8">
            <v>12</v>
          </cell>
          <cell r="AC8">
            <v>0.45</v>
          </cell>
          <cell r="AD8">
            <v>1</v>
          </cell>
          <cell r="AE8">
            <v>76</v>
          </cell>
          <cell r="AF8">
            <v>1</v>
          </cell>
          <cell r="AH8">
            <v>9</v>
          </cell>
          <cell r="AI8">
            <v>1</v>
          </cell>
          <cell r="AJ8">
            <v>76</v>
          </cell>
          <cell r="AK8">
            <v>12</v>
          </cell>
          <cell r="AM8">
            <v>0.9</v>
          </cell>
          <cell r="AN8">
            <v>1</v>
          </cell>
          <cell r="AO8">
            <v>88</v>
          </cell>
          <cell r="AP8">
            <v>1</v>
          </cell>
          <cell r="AR8">
            <v>0.75</v>
          </cell>
          <cell r="AS8">
            <v>1</v>
          </cell>
          <cell r="AT8">
            <v>88</v>
          </cell>
          <cell r="AU8">
            <v>12</v>
          </cell>
        </row>
        <row r="9">
          <cell r="B9">
            <v>3</v>
          </cell>
          <cell r="C9" t="str">
            <v>Drs. M. SALEH</v>
          </cell>
          <cell r="D9">
            <v>0.9</v>
          </cell>
          <cell r="E9">
            <v>1</v>
          </cell>
          <cell r="F9">
            <v>80</v>
          </cell>
          <cell r="G9">
            <v>1</v>
          </cell>
          <cell r="I9">
            <v>6</v>
          </cell>
          <cell r="J9">
            <v>1</v>
          </cell>
          <cell r="K9">
            <v>80</v>
          </cell>
          <cell r="L9">
            <v>12</v>
          </cell>
          <cell r="N9">
            <v>9</v>
          </cell>
          <cell r="O9">
            <v>1</v>
          </cell>
          <cell r="P9">
            <v>80</v>
          </cell>
          <cell r="Q9">
            <v>12</v>
          </cell>
          <cell r="S9">
            <v>6</v>
          </cell>
          <cell r="T9">
            <v>1</v>
          </cell>
          <cell r="U9">
            <v>76</v>
          </cell>
          <cell r="V9">
            <v>12</v>
          </cell>
          <cell r="X9">
            <v>4.5</v>
          </cell>
          <cell r="Y9">
            <v>1</v>
          </cell>
          <cell r="Z9">
            <v>80</v>
          </cell>
          <cell r="AA9">
            <v>12</v>
          </cell>
          <cell r="AC9">
            <v>0.45</v>
          </cell>
          <cell r="AD9">
            <v>1</v>
          </cell>
          <cell r="AE9">
            <v>76</v>
          </cell>
          <cell r="AF9">
            <v>1</v>
          </cell>
          <cell r="AH9">
            <v>9</v>
          </cell>
          <cell r="AI9">
            <v>1</v>
          </cell>
          <cell r="AJ9">
            <v>76</v>
          </cell>
          <cell r="AK9">
            <v>12</v>
          </cell>
          <cell r="AM9">
            <v>0.9</v>
          </cell>
          <cell r="AN9">
            <v>1</v>
          </cell>
          <cell r="AO9">
            <v>76</v>
          </cell>
          <cell r="AP9">
            <v>1</v>
          </cell>
          <cell r="AR9">
            <v>0.75</v>
          </cell>
          <cell r="AS9">
            <v>1</v>
          </cell>
          <cell r="AT9">
            <v>80</v>
          </cell>
          <cell r="AU9">
            <v>12</v>
          </cell>
        </row>
        <row r="10">
          <cell r="B10">
            <v>4</v>
          </cell>
          <cell r="C10" t="str">
            <v>SITI NURBAITI, S.Ag, M.Pd.I</v>
          </cell>
          <cell r="D10">
            <v>0.9</v>
          </cell>
          <cell r="E10">
            <v>1</v>
          </cell>
          <cell r="F10">
            <v>90</v>
          </cell>
          <cell r="G10">
            <v>1</v>
          </cell>
          <cell r="I10">
            <v>6</v>
          </cell>
          <cell r="J10">
            <v>1</v>
          </cell>
          <cell r="K10">
            <v>90</v>
          </cell>
          <cell r="L10">
            <v>12</v>
          </cell>
          <cell r="N10">
            <v>9</v>
          </cell>
          <cell r="O10">
            <v>1</v>
          </cell>
          <cell r="P10">
            <v>80</v>
          </cell>
          <cell r="Q10">
            <v>12</v>
          </cell>
          <cell r="S10">
            <v>6</v>
          </cell>
          <cell r="T10">
            <v>1</v>
          </cell>
          <cell r="U10">
            <v>80</v>
          </cell>
          <cell r="V10">
            <v>12</v>
          </cell>
          <cell r="X10">
            <v>4.5</v>
          </cell>
          <cell r="Y10">
            <v>1</v>
          </cell>
          <cell r="Z10">
            <v>80</v>
          </cell>
          <cell r="AA10">
            <v>12</v>
          </cell>
          <cell r="AC10">
            <v>0.45</v>
          </cell>
          <cell r="AD10">
            <v>1</v>
          </cell>
          <cell r="AE10">
            <v>80</v>
          </cell>
          <cell r="AF10">
            <v>1</v>
          </cell>
          <cell r="AH10">
            <v>9</v>
          </cell>
          <cell r="AI10">
            <v>1</v>
          </cell>
          <cell r="AJ10">
            <v>80</v>
          </cell>
          <cell r="AK10">
            <v>12</v>
          </cell>
          <cell r="AM10">
            <v>0.9</v>
          </cell>
          <cell r="AN10">
            <v>1</v>
          </cell>
          <cell r="AO10">
            <v>76</v>
          </cell>
          <cell r="AP10">
            <v>1</v>
          </cell>
          <cell r="AR10">
            <v>0.75</v>
          </cell>
          <cell r="AS10">
            <v>1</v>
          </cell>
          <cell r="AT10">
            <v>80</v>
          </cell>
          <cell r="AU10">
            <v>12</v>
          </cell>
        </row>
        <row r="11">
          <cell r="B11">
            <v>5</v>
          </cell>
          <cell r="C11" t="str">
            <v>Drs. A. AMIN MUSTOFA, M.Pd</v>
          </cell>
          <cell r="D11">
            <v>0.9</v>
          </cell>
          <cell r="E11">
            <v>1</v>
          </cell>
          <cell r="F11">
            <v>80</v>
          </cell>
          <cell r="G11">
            <v>1</v>
          </cell>
          <cell r="I11">
            <v>6</v>
          </cell>
          <cell r="J11">
            <v>1</v>
          </cell>
          <cell r="K11">
            <v>80</v>
          </cell>
          <cell r="L11">
            <v>12</v>
          </cell>
          <cell r="N11">
            <v>9</v>
          </cell>
          <cell r="O11">
            <v>1</v>
          </cell>
          <cell r="P11">
            <v>76</v>
          </cell>
          <cell r="Q11">
            <v>12</v>
          </cell>
          <cell r="S11">
            <v>6</v>
          </cell>
          <cell r="T11">
            <v>1</v>
          </cell>
          <cell r="U11">
            <v>76</v>
          </cell>
          <cell r="V11">
            <v>12</v>
          </cell>
          <cell r="X11">
            <v>4.5</v>
          </cell>
          <cell r="Y11">
            <v>1</v>
          </cell>
          <cell r="Z11">
            <v>76</v>
          </cell>
          <cell r="AA11">
            <v>12</v>
          </cell>
          <cell r="AC11">
            <v>0.45</v>
          </cell>
          <cell r="AD11">
            <v>1</v>
          </cell>
          <cell r="AE11">
            <v>76</v>
          </cell>
          <cell r="AF11">
            <v>1</v>
          </cell>
          <cell r="AH11">
            <v>9</v>
          </cell>
          <cell r="AI11">
            <v>1</v>
          </cell>
          <cell r="AJ11">
            <v>76</v>
          </cell>
          <cell r="AK11">
            <v>12</v>
          </cell>
          <cell r="AM11">
            <v>0.9</v>
          </cell>
          <cell r="AN11">
            <v>1</v>
          </cell>
          <cell r="AO11">
            <v>76</v>
          </cell>
          <cell r="AP11">
            <v>1</v>
          </cell>
          <cell r="AR11">
            <v>0.75</v>
          </cell>
          <cell r="AS11">
            <v>1</v>
          </cell>
          <cell r="AT11">
            <v>80</v>
          </cell>
          <cell r="AU11">
            <v>12</v>
          </cell>
        </row>
        <row r="12">
          <cell r="B12">
            <v>6</v>
          </cell>
          <cell r="C12" t="str">
            <v>Drs. AKHMAD SUGANDA, M.Pd</v>
          </cell>
          <cell r="D12">
            <v>0.9</v>
          </cell>
          <cell r="E12">
            <v>1</v>
          </cell>
          <cell r="F12">
            <v>80</v>
          </cell>
          <cell r="G12">
            <v>1</v>
          </cell>
          <cell r="I12">
            <v>6</v>
          </cell>
          <cell r="J12">
            <v>1</v>
          </cell>
          <cell r="K12">
            <v>80</v>
          </cell>
          <cell r="L12">
            <v>12</v>
          </cell>
          <cell r="N12">
            <v>9</v>
          </cell>
          <cell r="O12">
            <v>1</v>
          </cell>
          <cell r="P12">
            <v>80</v>
          </cell>
          <cell r="Q12">
            <v>12</v>
          </cell>
          <cell r="S12">
            <v>6</v>
          </cell>
          <cell r="T12">
            <v>1</v>
          </cell>
          <cell r="U12">
            <v>76</v>
          </cell>
          <cell r="V12">
            <v>12</v>
          </cell>
          <cell r="X12">
            <v>4.5</v>
          </cell>
          <cell r="Y12">
            <v>1</v>
          </cell>
          <cell r="Z12">
            <v>80</v>
          </cell>
          <cell r="AA12">
            <v>12</v>
          </cell>
          <cell r="AC12">
            <v>0.45</v>
          </cell>
          <cell r="AD12">
            <v>1</v>
          </cell>
          <cell r="AE12">
            <v>76</v>
          </cell>
          <cell r="AF12">
            <v>1</v>
          </cell>
          <cell r="AH12">
            <v>9</v>
          </cell>
          <cell r="AI12">
            <v>1</v>
          </cell>
          <cell r="AJ12">
            <v>76</v>
          </cell>
          <cell r="AK12">
            <v>12</v>
          </cell>
          <cell r="AM12">
            <v>0.9</v>
          </cell>
          <cell r="AN12">
            <v>1</v>
          </cell>
          <cell r="AO12">
            <v>76</v>
          </cell>
          <cell r="AP12">
            <v>1</v>
          </cell>
          <cell r="AR12">
            <v>0.75</v>
          </cell>
          <cell r="AS12">
            <v>1</v>
          </cell>
          <cell r="AT12">
            <v>80</v>
          </cell>
          <cell r="AU12">
            <v>12</v>
          </cell>
        </row>
        <row r="13">
          <cell r="B13">
            <v>7</v>
          </cell>
          <cell r="C13" t="str">
            <v>Dr. Hj. KUN SRI WARDHANI, M.Pd</v>
          </cell>
          <cell r="D13">
            <v>0.6</v>
          </cell>
          <cell r="E13">
            <v>1</v>
          </cell>
          <cell r="F13">
            <v>80</v>
          </cell>
          <cell r="G13">
            <v>1</v>
          </cell>
          <cell r="I13">
            <v>5.6</v>
          </cell>
          <cell r="J13">
            <v>1</v>
          </cell>
          <cell r="K13">
            <v>80</v>
          </cell>
          <cell r="L13">
            <v>12</v>
          </cell>
          <cell r="N13">
            <v>6</v>
          </cell>
          <cell r="O13">
            <v>1</v>
          </cell>
          <cell r="P13">
            <v>76</v>
          </cell>
          <cell r="Q13">
            <v>12</v>
          </cell>
          <cell r="S13">
            <v>4</v>
          </cell>
          <cell r="T13">
            <v>1</v>
          </cell>
          <cell r="U13">
            <v>76</v>
          </cell>
          <cell r="V13">
            <v>12</v>
          </cell>
          <cell r="X13">
            <v>3</v>
          </cell>
          <cell r="Y13">
            <v>1</v>
          </cell>
          <cell r="Z13">
            <v>76</v>
          </cell>
          <cell r="AA13">
            <v>12</v>
          </cell>
          <cell r="AC13">
            <v>0.3</v>
          </cell>
          <cell r="AD13">
            <v>1</v>
          </cell>
          <cell r="AE13">
            <v>76</v>
          </cell>
          <cell r="AF13">
            <v>1</v>
          </cell>
          <cell r="AH13">
            <v>6</v>
          </cell>
          <cell r="AI13">
            <v>1</v>
          </cell>
          <cell r="AJ13">
            <v>76</v>
          </cell>
          <cell r="AK13">
            <v>12</v>
          </cell>
          <cell r="AM13">
            <v>0.6</v>
          </cell>
          <cell r="AN13">
            <v>1</v>
          </cell>
          <cell r="AO13">
            <v>76</v>
          </cell>
          <cell r="AP13">
            <v>1</v>
          </cell>
          <cell r="AR13">
            <v>0.75</v>
          </cell>
          <cell r="AS13">
            <v>1</v>
          </cell>
          <cell r="AT13">
            <v>80</v>
          </cell>
          <cell r="AU13">
            <v>12</v>
          </cell>
        </row>
        <row r="14">
          <cell r="B14">
            <v>8</v>
          </cell>
          <cell r="C14" t="str">
            <v>ABDUL MANAP, M.Pd</v>
          </cell>
          <cell r="D14">
            <v>0.9</v>
          </cell>
          <cell r="E14">
            <v>1</v>
          </cell>
          <cell r="F14">
            <v>80</v>
          </cell>
          <cell r="G14">
            <v>1</v>
          </cell>
          <cell r="I14">
            <v>6</v>
          </cell>
          <cell r="J14">
            <v>1</v>
          </cell>
          <cell r="K14">
            <v>80</v>
          </cell>
          <cell r="L14">
            <v>12</v>
          </cell>
          <cell r="N14">
            <v>9</v>
          </cell>
          <cell r="O14">
            <v>1</v>
          </cell>
          <cell r="P14">
            <v>76</v>
          </cell>
          <cell r="Q14">
            <v>12</v>
          </cell>
          <cell r="S14">
            <v>6</v>
          </cell>
          <cell r="T14">
            <v>1</v>
          </cell>
          <cell r="U14">
            <v>76</v>
          </cell>
          <cell r="V14">
            <v>12</v>
          </cell>
          <cell r="X14">
            <v>4.5</v>
          </cell>
          <cell r="Y14">
            <v>1</v>
          </cell>
          <cell r="Z14">
            <v>76</v>
          </cell>
          <cell r="AA14">
            <v>12</v>
          </cell>
          <cell r="AC14">
            <v>0.45</v>
          </cell>
          <cell r="AD14">
            <v>1</v>
          </cell>
          <cell r="AE14">
            <v>76</v>
          </cell>
          <cell r="AF14">
            <v>1</v>
          </cell>
          <cell r="AH14">
            <v>9</v>
          </cell>
          <cell r="AI14">
            <v>1</v>
          </cell>
          <cell r="AJ14">
            <v>76</v>
          </cell>
          <cell r="AK14">
            <v>12</v>
          </cell>
          <cell r="AM14">
            <v>0.9</v>
          </cell>
          <cell r="AN14">
            <v>1</v>
          </cell>
          <cell r="AO14">
            <v>76</v>
          </cell>
          <cell r="AP14">
            <v>1</v>
          </cell>
          <cell r="AR14">
            <v>0.75</v>
          </cell>
          <cell r="AS14">
            <v>1</v>
          </cell>
          <cell r="AT14">
            <v>80</v>
          </cell>
          <cell r="AU14">
            <v>12</v>
          </cell>
        </row>
        <row r="15">
          <cell r="B15">
            <v>9</v>
          </cell>
          <cell r="C15" t="str">
            <v>ABDUL WAHAB, S.Pd</v>
          </cell>
          <cell r="D15">
            <v>0.6</v>
          </cell>
          <cell r="E15">
            <v>1</v>
          </cell>
          <cell r="F15">
            <v>80</v>
          </cell>
          <cell r="G15">
            <v>1</v>
          </cell>
          <cell r="I15">
            <v>5.6</v>
          </cell>
          <cell r="J15">
            <v>1</v>
          </cell>
          <cell r="K15">
            <v>80</v>
          </cell>
          <cell r="L15">
            <v>12</v>
          </cell>
          <cell r="N15">
            <v>6</v>
          </cell>
          <cell r="O15">
            <v>1</v>
          </cell>
          <cell r="P15">
            <v>76</v>
          </cell>
          <cell r="Q15">
            <v>12</v>
          </cell>
          <cell r="S15">
            <v>4</v>
          </cell>
          <cell r="T15">
            <v>1</v>
          </cell>
          <cell r="U15">
            <v>76</v>
          </cell>
          <cell r="V15">
            <v>12</v>
          </cell>
          <cell r="X15">
            <v>3</v>
          </cell>
          <cell r="Y15">
            <v>1</v>
          </cell>
          <cell r="Z15">
            <v>76</v>
          </cell>
          <cell r="AA15">
            <v>12</v>
          </cell>
          <cell r="AC15">
            <v>0.3</v>
          </cell>
          <cell r="AD15">
            <v>1</v>
          </cell>
          <cell r="AE15">
            <v>76</v>
          </cell>
          <cell r="AF15">
            <v>1</v>
          </cell>
          <cell r="AH15">
            <v>6</v>
          </cell>
          <cell r="AI15">
            <v>1</v>
          </cell>
          <cell r="AJ15">
            <v>76</v>
          </cell>
          <cell r="AK15">
            <v>12</v>
          </cell>
          <cell r="AM15">
            <v>0.6</v>
          </cell>
          <cell r="AN15">
            <v>1</v>
          </cell>
          <cell r="AO15">
            <v>76</v>
          </cell>
          <cell r="AP15">
            <v>1</v>
          </cell>
          <cell r="AR15">
            <v>0.75</v>
          </cell>
          <cell r="AS15">
            <v>1</v>
          </cell>
          <cell r="AT15">
            <v>80</v>
          </cell>
          <cell r="AU15">
            <v>12</v>
          </cell>
        </row>
        <row r="16">
          <cell r="B16">
            <v>10</v>
          </cell>
          <cell r="C16" t="str">
            <v>A. TAUFIK, S.Ag, MM</v>
          </cell>
          <cell r="D16">
            <v>0.9</v>
          </cell>
          <cell r="E16">
            <v>1</v>
          </cell>
          <cell r="F16">
            <v>80</v>
          </cell>
          <cell r="G16">
            <v>1</v>
          </cell>
          <cell r="I16">
            <v>6</v>
          </cell>
          <cell r="J16">
            <v>1</v>
          </cell>
          <cell r="K16">
            <v>80</v>
          </cell>
          <cell r="L16">
            <v>12</v>
          </cell>
          <cell r="N16">
            <v>9</v>
          </cell>
          <cell r="O16">
            <v>1</v>
          </cell>
          <cell r="P16">
            <v>76</v>
          </cell>
          <cell r="Q16">
            <v>12</v>
          </cell>
          <cell r="S16">
            <v>6</v>
          </cell>
          <cell r="T16">
            <v>1</v>
          </cell>
          <cell r="U16">
            <v>76</v>
          </cell>
          <cell r="V16">
            <v>12</v>
          </cell>
          <cell r="X16">
            <v>4.5</v>
          </cell>
          <cell r="Y16">
            <v>1</v>
          </cell>
          <cell r="Z16">
            <v>76</v>
          </cell>
          <cell r="AA16">
            <v>12</v>
          </cell>
          <cell r="AC16">
            <v>0.45</v>
          </cell>
          <cell r="AD16">
            <v>1</v>
          </cell>
          <cell r="AE16">
            <v>76</v>
          </cell>
          <cell r="AF16">
            <v>1</v>
          </cell>
          <cell r="AH16">
            <v>9</v>
          </cell>
          <cell r="AI16">
            <v>1</v>
          </cell>
          <cell r="AJ16">
            <v>76</v>
          </cell>
          <cell r="AK16">
            <v>12</v>
          </cell>
          <cell r="AM16">
            <v>0.9</v>
          </cell>
          <cell r="AN16">
            <v>1</v>
          </cell>
          <cell r="AO16">
            <v>76</v>
          </cell>
          <cell r="AP16">
            <v>1</v>
          </cell>
          <cell r="AR16">
            <v>0.75</v>
          </cell>
          <cell r="AS16">
            <v>1</v>
          </cell>
          <cell r="AT16">
            <v>80</v>
          </cell>
          <cell r="AU16">
            <v>12</v>
          </cell>
        </row>
        <row r="17">
          <cell r="B17">
            <v>11</v>
          </cell>
          <cell r="C17" t="str">
            <v>Drs. HADI WIJAYA</v>
          </cell>
          <cell r="D17">
            <v>0.9</v>
          </cell>
          <cell r="E17">
            <v>1</v>
          </cell>
          <cell r="F17">
            <v>85</v>
          </cell>
          <cell r="G17">
            <v>1</v>
          </cell>
          <cell r="I17">
            <v>6</v>
          </cell>
          <cell r="J17">
            <v>1</v>
          </cell>
          <cell r="K17">
            <v>85</v>
          </cell>
          <cell r="L17">
            <v>12</v>
          </cell>
          <cell r="N17">
            <v>9</v>
          </cell>
          <cell r="O17">
            <v>1</v>
          </cell>
          <cell r="P17">
            <v>80</v>
          </cell>
          <cell r="Q17">
            <v>12</v>
          </cell>
          <cell r="S17">
            <v>6</v>
          </cell>
          <cell r="T17">
            <v>1</v>
          </cell>
          <cell r="U17">
            <v>80</v>
          </cell>
          <cell r="V17">
            <v>12</v>
          </cell>
          <cell r="X17">
            <v>4.5</v>
          </cell>
          <cell r="Y17">
            <v>1</v>
          </cell>
          <cell r="Z17">
            <v>80</v>
          </cell>
          <cell r="AA17">
            <v>12</v>
          </cell>
          <cell r="AC17">
            <v>0.45</v>
          </cell>
          <cell r="AD17">
            <v>1</v>
          </cell>
          <cell r="AE17">
            <v>80</v>
          </cell>
          <cell r="AF17">
            <v>1</v>
          </cell>
          <cell r="AH17">
            <v>9</v>
          </cell>
          <cell r="AI17">
            <v>1</v>
          </cell>
          <cell r="AJ17">
            <v>80</v>
          </cell>
          <cell r="AK17">
            <v>12</v>
          </cell>
          <cell r="AM17">
            <v>0.9</v>
          </cell>
          <cell r="AN17">
            <v>1</v>
          </cell>
          <cell r="AO17">
            <v>80</v>
          </cell>
          <cell r="AP17">
            <v>1</v>
          </cell>
          <cell r="AR17">
            <v>1</v>
          </cell>
          <cell r="AS17">
            <v>1</v>
          </cell>
          <cell r="AT17">
            <v>80</v>
          </cell>
          <cell r="AU17">
            <v>12</v>
          </cell>
        </row>
        <row r="18">
          <cell r="B18">
            <v>12</v>
          </cell>
          <cell r="C18" t="str">
            <v>ARTATI ISMAILIA, SE, M.Ak</v>
          </cell>
          <cell r="D18">
            <v>0.9</v>
          </cell>
          <cell r="E18">
            <v>1</v>
          </cell>
          <cell r="F18">
            <v>80</v>
          </cell>
          <cell r="G18">
            <v>1</v>
          </cell>
          <cell r="I18">
            <v>6</v>
          </cell>
          <cell r="J18">
            <v>1</v>
          </cell>
          <cell r="K18">
            <v>80</v>
          </cell>
          <cell r="L18">
            <v>12</v>
          </cell>
          <cell r="N18">
            <v>9</v>
          </cell>
          <cell r="O18">
            <v>1</v>
          </cell>
          <cell r="P18">
            <v>76</v>
          </cell>
          <cell r="Q18">
            <v>12</v>
          </cell>
          <cell r="S18">
            <v>6</v>
          </cell>
          <cell r="T18">
            <v>1</v>
          </cell>
          <cell r="U18">
            <v>76</v>
          </cell>
          <cell r="V18">
            <v>12</v>
          </cell>
          <cell r="X18">
            <v>4.5</v>
          </cell>
          <cell r="Y18">
            <v>1</v>
          </cell>
          <cell r="Z18">
            <v>76</v>
          </cell>
          <cell r="AA18">
            <v>12</v>
          </cell>
          <cell r="AC18">
            <v>0.45</v>
          </cell>
          <cell r="AD18">
            <v>1</v>
          </cell>
          <cell r="AE18">
            <v>76</v>
          </cell>
          <cell r="AF18">
            <v>1</v>
          </cell>
          <cell r="AH18">
            <v>9</v>
          </cell>
          <cell r="AI18">
            <v>1</v>
          </cell>
          <cell r="AJ18">
            <v>76</v>
          </cell>
          <cell r="AK18">
            <v>12</v>
          </cell>
          <cell r="AM18">
            <v>0.9</v>
          </cell>
          <cell r="AN18">
            <v>1</v>
          </cell>
          <cell r="AO18">
            <v>76</v>
          </cell>
          <cell r="AP18">
            <v>1</v>
          </cell>
          <cell r="AR18">
            <v>0.75</v>
          </cell>
          <cell r="AS18">
            <v>1</v>
          </cell>
          <cell r="AT18">
            <v>80</v>
          </cell>
          <cell r="AU18">
            <v>12</v>
          </cell>
        </row>
        <row r="19">
          <cell r="B19">
            <v>13</v>
          </cell>
          <cell r="C19" t="str">
            <v>Drs. AHMAD KHOTIB, M.Pd</v>
          </cell>
          <cell r="D19">
            <v>0.9</v>
          </cell>
          <cell r="E19">
            <v>1</v>
          </cell>
          <cell r="F19">
            <v>80</v>
          </cell>
          <cell r="G19">
            <v>1</v>
          </cell>
          <cell r="I19">
            <v>6</v>
          </cell>
          <cell r="J19">
            <v>1</v>
          </cell>
          <cell r="K19">
            <v>80</v>
          </cell>
          <cell r="L19">
            <v>12</v>
          </cell>
          <cell r="N19">
            <v>9</v>
          </cell>
          <cell r="O19">
            <v>1</v>
          </cell>
          <cell r="P19">
            <v>76</v>
          </cell>
          <cell r="Q19">
            <v>12</v>
          </cell>
          <cell r="S19">
            <v>6</v>
          </cell>
          <cell r="T19">
            <v>1</v>
          </cell>
          <cell r="U19">
            <v>76</v>
          </cell>
          <cell r="V19">
            <v>12</v>
          </cell>
          <cell r="X19">
            <v>4.5</v>
          </cell>
          <cell r="Y19">
            <v>1</v>
          </cell>
          <cell r="Z19">
            <v>76</v>
          </cell>
          <cell r="AA19">
            <v>12</v>
          </cell>
          <cell r="AC19">
            <v>0.45</v>
          </cell>
          <cell r="AD19">
            <v>1</v>
          </cell>
          <cell r="AE19">
            <v>76</v>
          </cell>
          <cell r="AF19">
            <v>1</v>
          </cell>
          <cell r="AH19">
            <v>9</v>
          </cell>
          <cell r="AI19">
            <v>1</v>
          </cell>
          <cell r="AJ19">
            <v>80</v>
          </cell>
          <cell r="AK19">
            <v>12</v>
          </cell>
          <cell r="AM19">
            <v>0.9</v>
          </cell>
          <cell r="AN19">
            <v>1</v>
          </cell>
          <cell r="AO19">
            <v>80</v>
          </cell>
          <cell r="AP19">
            <v>1</v>
          </cell>
          <cell r="AR19">
            <v>0.75</v>
          </cell>
          <cell r="AS19">
            <v>1</v>
          </cell>
          <cell r="AT19">
            <v>80</v>
          </cell>
          <cell r="AU19">
            <v>12</v>
          </cell>
        </row>
        <row r="20">
          <cell r="B20">
            <v>14</v>
          </cell>
          <cell r="C20" t="str">
            <v>SUTAN ASWIN, S.Pd</v>
          </cell>
          <cell r="D20">
            <v>0.9</v>
          </cell>
          <cell r="E20">
            <v>1</v>
          </cell>
          <cell r="F20">
            <v>80</v>
          </cell>
          <cell r="G20">
            <v>1</v>
          </cell>
          <cell r="I20">
            <v>6</v>
          </cell>
          <cell r="J20">
            <v>1</v>
          </cell>
          <cell r="K20">
            <v>80</v>
          </cell>
          <cell r="L20">
            <v>12</v>
          </cell>
          <cell r="N20">
            <v>9</v>
          </cell>
          <cell r="O20">
            <v>1</v>
          </cell>
          <cell r="P20">
            <v>80</v>
          </cell>
          <cell r="Q20">
            <v>12</v>
          </cell>
          <cell r="S20">
            <v>6</v>
          </cell>
          <cell r="T20">
            <v>1</v>
          </cell>
          <cell r="U20">
            <v>80</v>
          </cell>
          <cell r="V20">
            <v>12</v>
          </cell>
          <cell r="X20">
            <v>4.5</v>
          </cell>
          <cell r="Y20">
            <v>1</v>
          </cell>
          <cell r="Z20">
            <v>80</v>
          </cell>
          <cell r="AA20">
            <v>12</v>
          </cell>
          <cell r="AC20">
            <v>0.45</v>
          </cell>
          <cell r="AD20">
            <v>1</v>
          </cell>
          <cell r="AE20">
            <v>80</v>
          </cell>
          <cell r="AF20">
            <v>1</v>
          </cell>
          <cell r="AH20">
            <v>9</v>
          </cell>
          <cell r="AI20">
            <v>1</v>
          </cell>
          <cell r="AJ20">
            <v>76</v>
          </cell>
          <cell r="AK20">
            <v>12</v>
          </cell>
          <cell r="AM20">
            <v>0.9</v>
          </cell>
          <cell r="AN20">
            <v>1</v>
          </cell>
          <cell r="AO20">
            <v>76</v>
          </cell>
          <cell r="AP20">
            <v>1</v>
          </cell>
          <cell r="AR20">
            <v>0.75</v>
          </cell>
          <cell r="AS20">
            <v>1</v>
          </cell>
          <cell r="AT20">
            <v>80</v>
          </cell>
          <cell r="AU20">
            <v>12</v>
          </cell>
        </row>
        <row r="21">
          <cell r="B21">
            <v>15</v>
          </cell>
          <cell r="C21" t="str">
            <v>Dra. IDA SAIDAH, M.MPd</v>
          </cell>
          <cell r="D21">
            <v>0.9</v>
          </cell>
          <cell r="E21">
            <v>1</v>
          </cell>
          <cell r="F21">
            <v>80</v>
          </cell>
          <cell r="G21">
            <v>1</v>
          </cell>
          <cell r="I21">
            <v>6</v>
          </cell>
          <cell r="J21">
            <v>1</v>
          </cell>
          <cell r="K21">
            <v>80</v>
          </cell>
          <cell r="L21">
            <v>12</v>
          </cell>
          <cell r="N21">
            <v>9</v>
          </cell>
          <cell r="O21">
            <v>1</v>
          </cell>
          <cell r="P21">
            <v>80</v>
          </cell>
          <cell r="Q21">
            <v>12</v>
          </cell>
          <cell r="S21">
            <v>6</v>
          </cell>
          <cell r="T21">
            <v>1</v>
          </cell>
          <cell r="U21">
            <v>80</v>
          </cell>
          <cell r="V21">
            <v>12</v>
          </cell>
          <cell r="X21">
            <v>4.5</v>
          </cell>
          <cell r="Y21">
            <v>1</v>
          </cell>
          <cell r="Z21">
            <v>80</v>
          </cell>
          <cell r="AA21">
            <v>12</v>
          </cell>
          <cell r="AC21">
            <v>0.45</v>
          </cell>
          <cell r="AD21">
            <v>1</v>
          </cell>
          <cell r="AE21">
            <v>80</v>
          </cell>
          <cell r="AF21">
            <v>1</v>
          </cell>
          <cell r="AH21">
            <v>9</v>
          </cell>
          <cell r="AI21">
            <v>1</v>
          </cell>
          <cell r="AJ21">
            <v>80</v>
          </cell>
          <cell r="AK21">
            <v>12</v>
          </cell>
          <cell r="AM21">
            <v>0.9</v>
          </cell>
          <cell r="AN21">
            <v>1</v>
          </cell>
          <cell r="AO21">
            <v>76</v>
          </cell>
          <cell r="AP21">
            <v>1</v>
          </cell>
          <cell r="AR21">
            <v>0.75</v>
          </cell>
          <cell r="AS21">
            <v>1</v>
          </cell>
          <cell r="AT21">
            <v>80</v>
          </cell>
          <cell r="AU21">
            <v>12</v>
          </cell>
        </row>
        <row r="22">
          <cell r="B22">
            <v>16</v>
          </cell>
          <cell r="C22" t="str">
            <v>Dra. Hj. JAMILAH, M.Pd</v>
          </cell>
          <cell r="D22">
            <v>0.9</v>
          </cell>
          <cell r="E22">
            <v>1</v>
          </cell>
          <cell r="F22">
            <v>80</v>
          </cell>
          <cell r="G22">
            <v>1</v>
          </cell>
          <cell r="I22">
            <v>6</v>
          </cell>
          <cell r="J22">
            <v>1</v>
          </cell>
          <cell r="K22">
            <v>80</v>
          </cell>
          <cell r="L22">
            <v>12</v>
          </cell>
          <cell r="N22">
            <v>9</v>
          </cell>
          <cell r="O22">
            <v>1</v>
          </cell>
          <cell r="P22">
            <v>80</v>
          </cell>
          <cell r="Q22">
            <v>12</v>
          </cell>
          <cell r="S22">
            <v>6</v>
          </cell>
          <cell r="T22">
            <v>1</v>
          </cell>
          <cell r="U22">
            <v>80</v>
          </cell>
          <cell r="V22">
            <v>12</v>
          </cell>
          <cell r="X22">
            <v>4.5</v>
          </cell>
          <cell r="Y22">
            <v>1</v>
          </cell>
          <cell r="Z22">
            <v>80</v>
          </cell>
          <cell r="AA22">
            <v>12</v>
          </cell>
          <cell r="AC22">
            <v>0.45</v>
          </cell>
          <cell r="AD22">
            <v>1</v>
          </cell>
          <cell r="AE22">
            <v>80</v>
          </cell>
          <cell r="AF22">
            <v>1</v>
          </cell>
          <cell r="AH22">
            <v>9</v>
          </cell>
          <cell r="AI22">
            <v>1</v>
          </cell>
          <cell r="AJ22">
            <v>80</v>
          </cell>
          <cell r="AK22">
            <v>12</v>
          </cell>
          <cell r="AM22">
            <v>0.9</v>
          </cell>
          <cell r="AN22">
            <v>1</v>
          </cell>
          <cell r="AO22">
            <v>76</v>
          </cell>
          <cell r="AP22">
            <v>1</v>
          </cell>
          <cell r="AR22">
            <v>0.75</v>
          </cell>
          <cell r="AS22">
            <v>1</v>
          </cell>
          <cell r="AT22">
            <v>80</v>
          </cell>
          <cell r="AU22">
            <v>12</v>
          </cell>
        </row>
        <row r="23">
          <cell r="B23">
            <v>17</v>
          </cell>
          <cell r="C23" t="str">
            <v>Dra. Hj. ZURNI ASNIDA</v>
          </cell>
          <cell r="D23">
            <v>0.9</v>
          </cell>
          <cell r="E23">
            <v>1</v>
          </cell>
          <cell r="F23">
            <v>80</v>
          </cell>
          <cell r="G23">
            <v>1</v>
          </cell>
          <cell r="I23">
            <v>6</v>
          </cell>
          <cell r="J23">
            <v>1</v>
          </cell>
          <cell r="K23">
            <v>80</v>
          </cell>
          <cell r="L23">
            <v>12</v>
          </cell>
          <cell r="N23">
            <v>9</v>
          </cell>
          <cell r="O23">
            <v>1</v>
          </cell>
          <cell r="P23">
            <v>80</v>
          </cell>
          <cell r="Q23">
            <v>12</v>
          </cell>
          <cell r="S23">
            <v>6</v>
          </cell>
          <cell r="T23">
            <v>1</v>
          </cell>
          <cell r="U23">
            <v>80</v>
          </cell>
          <cell r="V23">
            <v>12</v>
          </cell>
          <cell r="X23">
            <v>4.5</v>
          </cell>
          <cell r="Y23">
            <v>1</v>
          </cell>
          <cell r="Z23">
            <v>80</v>
          </cell>
          <cell r="AA23">
            <v>12</v>
          </cell>
          <cell r="AC23">
            <v>0.45</v>
          </cell>
          <cell r="AD23">
            <v>1</v>
          </cell>
          <cell r="AE23">
            <v>80</v>
          </cell>
          <cell r="AF23">
            <v>1</v>
          </cell>
          <cell r="AH23">
            <v>9</v>
          </cell>
          <cell r="AI23">
            <v>1</v>
          </cell>
          <cell r="AJ23">
            <v>80</v>
          </cell>
          <cell r="AK23">
            <v>12</v>
          </cell>
          <cell r="AM23">
            <v>0.9</v>
          </cell>
          <cell r="AN23">
            <v>1</v>
          </cell>
          <cell r="AO23">
            <v>76</v>
          </cell>
          <cell r="AP23">
            <v>1</v>
          </cell>
          <cell r="AR23">
            <v>0.75</v>
          </cell>
          <cell r="AS23">
            <v>1</v>
          </cell>
          <cell r="AT23">
            <v>80</v>
          </cell>
          <cell r="AU23">
            <v>12</v>
          </cell>
        </row>
        <row r="24">
          <cell r="B24">
            <v>18</v>
          </cell>
          <cell r="C24" t="str">
            <v>TANTI ASTRIATIE Z, S.Pd, M.Pd</v>
          </cell>
          <cell r="D24">
            <v>0.6</v>
          </cell>
          <cell r="E24">
            <v>1</v>
          </cell>
          <cell r="F24">
            <v>80</v>
          </cell>
          <cell r="G24">
            <v>1</v>
          </cell>
          <cell r="I24">
            <v>5.6</v>
          </cell>
          <cell r="J24">
            <v>1</v>
          </cell>
          <cell r="K24">
            <v>80</v>
          </cell>
          <cell r="L24">
            <v>12</v>
          </cell>
          <cell r="N24">
            <v>6</v>
          </cell>
          <cell r="O24">
            <v>1</v>
          </cell>
          <cell r="P24">
            <v>76</v>
          </cell>
          <cell r="Q24">
            <v>12</v>
          </cell>
          <cell r="S24">
            <v>4</v>
          </cell>
          <cell r="T24">
            <v>1</v>
          </cell>
          <cell r="U24">
            <v>76</v>
          </cell>
          <cell r="V24">
            <v>12</v>
          </cell>
          <cell r="X24">
            <v>3</v>
          </cell>
          <cell r="Y24">
            <v>1</v>
          </cell>
          <cell r="Z24">
            <v>76</v>
          </cell>
          <cell r="AA24">
            <v>12</v>
          </cell>
          <cell r="AC24">
            <v>0.3</v>
          </cell>
          <cell r="AD24">
            <v>1</v>
          </cell>
          <cell r="AE24">
            <v>76</v>
          </cell>
          <cell r="AF24">
            <v>1</v>
          </cell>
          <cell r="AH24">
            <v>6</v>
          </cell>
          <cell r="AI24">
            <v>1</v>
          </cell>
          <cell r="AJ24">
            <v>76</v>
          </cell>
          <cell r="AK24">
            <v>12</v>
          </cell>
          <cell r="AM24">
            <v>0.6</v>
          </cell>
          <cell r="AN24">
            <v>1</v>
          </cell>
          <cell r="AO24">
            <v>76</v>
          </cell>
          <cell r="AP24">
            <v>1</v>
          </cell>
          <cell r="AR24">
            <v>0.75</v>
          </cell>
          <cell r="AS24">
            <v>1</v>
          </cell>
          <cell r="AT24">
            <v>80</v>
          </cell>
          <cell r="AU24">
            <v>12</v>
          </cell>
        </row>
        <row r="25">
          <cell r="B25">
            <v>19</v>
          </cell>
          <cell r="C25" t="str">
            <v>KUSWIYATI, S.Pd, M.Pd</v>
          </cell>
          <cell r="D25">
            <v>0.6</v>
          </cell>
          <cell r="E25">
            <v>1</v>
          </cell>
          <cell r="F25">
            <v>80</v>
          </cell>
          <cell r="G25">
            <v>1</v>
          </cell>
          <cell r="I25">
            <v>5.6</v>
          </cell>
          <cell r="J25">
            <v>1</v>
          </cell>
          <cell r="K25">
            <v>80</v>
          </cell>
          <cell r="L25">
            <v>12</v>
          </cell>
          <cell r="N25">
            <v>6</v>
          </cell>
          <cell r="O25">
            <v>1</v>
          </cell>
          <cell r="P25">
            <v>76</v>
          </cell>
          <cell r="Q25">
            <v>12</v>
          </cell>
          <cell r="S25">
            <v>4</v>
          </cell>
          <cell r="T25">
            <v>1</v>
          </cell>
          <cell r="U25">
            <v>76</v>
          </cell>
          <cell r="V25">
            <v>12</v>
          </cell>
          <cell r="X25">
            <v>3</v>
          </cell>
          <cell r="Y25">
            <v>1</v>
          </cell>
          <cell r="Z25">
            <v>76</v>
          </cell>
          <cell r="AA25">
            <v>12</v>
          </cell>
          <cell r="AC25">
            <v>0.3</v>
          </cell>
          <cell r="AD25">
            <v>1</v>
          </cell>
          <cell r="AE25">
            <v>76</v>
          </cell>
          <cell r="AF25">
            <v>1</v>
          </cell>
          <cell r="AH25">
            <v>6</v>
          </cell>
          <cell r="AI25">
            <v>1</v>
          </cell>
          <cell r="AJ25">
            <v>76</v>
          </cell>
          <cell r="AK25">
            <v>12</v>
          </cell>
          <cell r="AM25">
            <v>0.6</v>
          </cell>
          <cell r="AN25">
            <v>1</v>
          </cell>
          <cell r="AO25">
            <v>76</v>
          </cell>
          <cell r="AP25">
            <v>1</v>
          </cell>
          <cell r="AR25">
            <v>0.75</v>
          </cell>
          <cell r="AS25">
            <v>1</v>
          </cell>
          <cell r="AT25">
            <v>80</v>
          </cell>
          <cell r="AU25">
            <v>12</v>
          </cell>
        </row>
        <row r="26">
          <cell r="B26">
            <v>20</v>
          </cell>
          <cell r="C26" t="str">
            <v>RUSDAH, S.Ag</v>
          </cell>
          <cell r="D26">
            <v>0.6</v>
          </cell>
          <cell r="E26">
            <v>1</v>
          </cell>
          <cell r="F26">
            <v>80</v>
          </cell>
          <cell r="G26">
            <v>1</v>
          </cell>
          <cell r="I26">
            <v>5.6</v>
          </cell>
          <cell r="J26">
            <v>1</v>
          </cell>
          <cell r="K26">
            <v>80</v>
          </cell>
          <cell r="L26">
            <v>12</v>
          </cell>
          <cell r="N26">
            <v>6</v>
          </cell>
          <cell r="O26">
            <v>1</v>
          </cell>
          <cell r="P26">
            <v>76</v>
          </cell>
          <cell r="Q26">
            <v>12</v>
          </cell>
          <cell r="S26">
            <v>4</v>
          </cell>
          <cell r="T26">
            <v>1</v>
          </cell>
          <cell r="U26">
            <v>76</v>
          </cell>
          <cell r="V26">
            <v>12</v>
          </cell>
          <cell r="X26">
            <v>3</v>
          </cell>
          <cell r="Y26">
            <v>1</v>
          </cell>
          <cell r="Z26">
            <v>76</v>
          </cell>
          <cell r="AA26">
            <v>12</v>
          </cell>
          <cell r="AC26">
            <v>0.3</v>
          </cell>
          <cell r="AD26">
            <v>1</v>
          </cell>
          <cell r="AE26">
            <v>76</v>
          </cell>
          <cell r="AF26">
            <v>1</v>
          </cell>
          <cell r="AH26">
            <v>6</v>
          </cell>
          <cell r="AI26">
            <v>1</v>
          </cell>
          <cell r="AJ26">
            <v>76</v>
          </cell>
          <cell r="AK26">
            <v>12</v>
          </cell>
          <cell r="AM26">
            <v>0.6</v>
          </cell>
          <cell r="AN26">
            <v>1</v>
          </cell>
          <cell r="AO26">
            <v>76</v>
          </cell>
          <cell r="AP26">
            <v>1</v>
          </cell>
          <cell r="AR26">
            <v>0.75</v>
          </cell>
          <cell r="AS26">
            <v>1</v>
          </cell>
          <cell r="AT26">
            <v>80</v>
          </cell>
          <cell r="AU26">
            <v>12</v>
          </cell>
        </row>
        <row r="27">
          <cell r="B27">
            <v>21</v>
          </cell>
          <cell r="C27" t="str">
            <v>WAWAN KURNIAWAN, S.Pd, M.Si</v>
          </cell>
          <cell r="D27">
            <v>0.6</v>
          </cell>
          <cell r="E27">
            <v>1</v>
          </cell>
          <cell r="F27">
            <v>80</v>
          </cell>
          <cell r="G27">
            <v>1</v>
          </cell>
          <cell r="I27">
            <v>5.6</v>
          </cell>
          <cell r="J27">
            <v>1</v>
          </cell>
          <cell r="K27">
            <v>80</v>
          </cell>
          <cell r="L27">
            <v>12</v>
          </cell>
          <cell r="N27">
            <v>6</v>
          </cell>
          <cell r="O27">
            <v>1</v>
          </cell>
          <cell r="P27">
            <v>76</v>
          </cell>
          <cell r="Q27">
            <v>12</v>
          </cell>
          <cell r="S27">
            <v>4</v>
          </cell>
          <cell r="T27">
            <v>1</v>
          </cell>
          <cell r="U27">
            <v>76</v>
          </cell>
          <cell r="V27">
            <v>12</v>
          </cell>
          <cell r="X27">
            <v>3</v>
          </cell>
          <cell r="Y27">
            <v>1</v>
          </cell>
          <cell r="Z27">
            <v>76</v>
          </cell>
          <cell r="AA27">
            <v>12</v>
          </cell>
          <cell r="AC27">
            <v>0.3</v>
          </cell>
          <cell r="AD27">
            <v>1</v>
          </cell>
          <cell r="AE27">
            <v>76</v>
          </cell>
          <cell r="AF27">
            <v>1</v>
          </cell>
          <cell r="AH27">
            <v>6</v>
          </cell>
          <cell r="AI27">
            <v>1</v>
          </cell>
          <cell r="AJ27">
            <v>76</v>
          </cell>
          <cell r="AK27">
            <v>12</v>
          </cell>
          <cell r="AM27">
            <v>0.6</v>
          </cell>
          <cell r="AN27">
            <v>1</v>
          </cell>
          <cell r="AO27">
            <v>76</v>
          </cell>
          <cell r="AP27">
            <v>1</v>
          </cell>
          <cell r="AR27">
            <v>0.75</v>
          </cell>
          <cell r="AS27">
            <v>1</v>
          </cell>
          <cell r="AT27">
            <v>80</v>
          </cell>
          <cell r="AU27">
            <v>12</v>
          </cell>
        </row>
        <row r="28">
          <cell r="B28">
            <v>22</v>
          </cell>
          <cell r="C28" t="str">
            <v>MUHAMMAD YUNUS, S.Ag, M.Pd</v>
          </cell>
          <cell r="D28">
            <v>0.6</v>
          </cell>
          <cell r="E28">
            <v>1</v>
          </cell>
          <cell r="F28">
            <v>80</v>
          </cell>
          <cell r="G28">
            <v>1</v>
          </cell>
          <cell r="I28">
            <v>5.6</v>
          </cell>
          <cell r="J28">
            <v>1</v>
          </cell>
          <cell r="K28">
            <v>80</v>
          </cell>
          <cell r="L28">
            <v>12</v>
          </cell>
          <cell r="N28">
            <v>6</v>
          </cell>
          <cell r="O28">
            <v>1</v>
          </cell>
          <cell r="P28">
            <v>76</v>
          </cell>
          <cell r="Q28">
            <v>12</v>
          </cell>
          <cell r="S28">
            <v>4</v>
          </cell>
          <cell r="T28">
            <v>1</v>
          </cell>
          <cell r="U28">
            <v>76</v>
          </cell>
          <cell r="V28">
            <v>12</v>
          </cell>
          <cell r="X28">
            <v>3</v>
          </cell>
          <cell r="Y28">
            <v>1</v>
          </cell>
          <cell r="Z28">
            <v>76</v>
          </cell>
          <cell r="AA28">
            <v>12</v>
          </cell>
          <cell r="AC28">
            <v>0.3</v>
          </cell>
          <cell r="AD28">
            <v>1</v>
          </cell>
          <cell r="AE28">
            <v>76</v>
          </cell>
          <cell r="AF28">
            <v>1</v>
          </cell>
          <cell r="AH28">
            <v>6</v>
          </cell>
          <cell r="AI28">
            <v>1</v>
          </cell>
          <cell r="AJ28">
            <v>76</v>
          </cell>
          <cell r="AK28">
            <v>12</v>
          </cell>
          <cell r="AM28">
            <v>0.6</v>
          </cell>
          <cell r="AN28">
            <v>1</v>
          </cell>
          <cell r="AO28">
            <v>76</v>
          </cell>
          <cell r="AP28">
            <v>1</v>
          </cell>
          <cell r="AR28">
            <v>0.75</v>
          </cell>
          <cell r="AS28">
            <v>1</v>
          </cell>
          <cell r="AT28">
            <v>80</v>
          </cell>
          <cell r="AU28">
            <v>12</v>
          </cell>
        </row>
        <row r="29">
          <cell r="B29">
            <v>23</v>
          </cell>
          <cell r="C29" t="str">
            <v>Drs. SASTRO JAGO HARTONO</v>
          </cell>
          <cell r="D29">
            <v>0.9</v>
          </cell>
          <cell r="E29">
            <v>1</v>
          </cell>
          <cell r="F29">
            <v>80</v>
          </cell>
          <cell r="G29">
            <v>1</v>
          </cell>
          <cell r="I29">
            <v>6</v>
          </cell>
          <cell r="J29">
            <v>1</v>
          </cell>
          <cell r="K29">
            <v>80</v>
          </cell>
          <cell r="L29">
            <v>12</v>
          </cell>
          <cell r="N29">
            <v>9</v>
          </cell>
          <cell r="O29">
            <v>1</v>
          </cell>
          <cell r="P29">
            <v>80</v>
          </cell>
          <cell r="Q29">
            <v>12</v>
          </cell>
          <cell r="S29">
            <v>6</v>
          </cell>
          <cell r="T29">
            <v>1</v>
          </cell>
          <cell r="U29">
            <v>76</v>
          </cell>
          <cell r="V29">
            <v>12</v>
          </cell>
          <cell r="X29">
            <v>4.5</v>
          </cell>
          <cell r="Y29">
            <v>1</v>
          </cell>
          <cell r="Z29">
            <v>76</v>
          </cell>
          <cell r="AA29">
            <v>12</v>
          </cell>
          <cell r="AC29">
            <v>0.45</v>
          </cell>
          <cell r="AD29">
            <v>1</v>
          </cell>
          <cell r="AE29">
            <v>76</v>
          </cell>
          <cell r="AF29">
            <v>1</v>
          </cell>
          <cell r="AH29">
            <v>9</v>
          </cell>
          <cell r="AI29">
            <v>1</v>
          </cell>
          <cell r="AJ29">
            <v>76</v>
          </cell>
          <cell r="AK29">
            <v>12</v>
          </cell>
          <cell r="AM29">
            <v>0.9</v>
          </cell>
          <cell r="AN29">
            <v>1</v>
          </cell>
          <cell r="AO29">
            <v>76</v>
          </cell>
          <cell r="AP29">
            <v>1</v>
          </cell>
          <cell r="AR29">
            <v>0.75</v>
          </cell>
          <cell r="AS29">
            <v>1</v>
          </cell>
          <cell r="AT29">
            <v>80</v>
          </cell>
          <cell r="AU29">
            <v>12</v>
          </cell>
        </row>
        <row r="30">
          <cell r="B30">
            <v>24</v>
          </cell>
          <cell r="C30" t="str">
            <v>RUSTIATI, S.Pd, M.Pd</v>
          </cell>
          <cell r="D30">
            <v>0.6</v>
          </cell>
          <cell r="E30">
            <v>1</v>
          </cell>
          <cell r="F30">
            <v>80</v>
          </cell>
          <cell r="G30">
            <v>1</v>
          </cell>
          <cell r="I30">
            <v>5.6</v>
          </cell>
          <cell r="J30">
            <v>1</v>
          </cell>
          <cell r="K30">
            <v>80</v>
          </cell>
          <cell r="L30">
            <v>12</v>
          </cell>
          <cell r="N30">
            <v>6</v>
          </cell>
          <cell r="O30">
            <v>1</v>
          </cell>
          <cell r="P30">
            <v>76</v>
          </cell>
          <cell r="Q30">
            <v>12</v>
          </cell>
          <cell r="S30">
            <v>4</v>
          </cell>
          <cell r="T30">
            <v>1</v>
          </cell>
          <cell r="U30">
            <v>76</v>
          </cell>
          <cell r="V30">
            <v>12</v>
          </cell>
          <cell r="X30">
            <v>3</v>
          </cell>
          <cell r="Y30">
            <v>1</v>
          </cell>
          <cell r="Z30">
            <v>76</v>
          </cell>
          <cell r="AA30">
            <v>12</v>
          </cell>
          <cell r="AC30">
            <v>0.3</v>
          </cell>
          <cell r="AD30">
            <v>1</v>
          </cell>
          <cell r="AE30">
            <v>76</v>
          </cell>
          <cell r="AF30">
            <v>1</v>
          </cell>
          <cell r="AH30">
            <v>6</v>
          </cell>
          <cell r="AI30">
            <v>1</v>
          </cell>
          <cell r="AJ30">
            <v>76</v>
          </cell>
          <cell r="AK30">
            <v>12</v>
          </cell>
          <cell r="AM30">
            <v>0.6</v>
          </cell>
          <cell r="AN30">
            <v>1</v>
          </cell>
          <cell r="AO30">
            <v>76</v>
          </cell>
          <cell r="AP30">
            <v>1</v>
          </cell>
          <cell r="AR30">
            <v>0.75</v>
          </cell>
          <cell r="AS30">
            <v>1</v>
          </cell>
          <cell r="AT30">
            <v>80</v>
          </cell>
          <cell r="AU30">
            <v>12</v>
          </cell>
        </row>
        <row r="31">
          <cell r="B31">
            <v>25</v>
          </cell>
          <cell r="C31" t="str">
            <v>SARJONO S.Pd</v>
          </cell>
          <cell r="D31">
            <v>0.6</v>
          </cell>
          <cell r="E31">
            <v>1</v>
          </cell>
          <cell r="F31">
            <v>80</v>
          </cell>
          <cell r="G31">
            <v>1</v>
          </cell>
          <cell r="I31">
            <v>5.6</v>
          </cell>
          <cell r="J31">
            <v>1</v>
          </cell>
          <cell r="K31">
            <v>80</v>
          </cell>
          <cell r="L31">
            <v>12</v>
          </cell>
          <cell r="N31">
            <v>6</v>
          </cell>
          <cell r="O31">
            <v>1</v>
          </cell>
          <cell r="P31">
            <v>76</v>
          </cell>
          <cell r="Q31">
            <v>12</v>
          </cell>
          <cell r="S31">
            <v>4</v>
          </cell>
          <cell r="T31">
            <v>1</v>
          </cell>
          <cell r="U31">
            <v>76</v>
          </cell>
          <cell r="V31">
            <v>12</v>
          </cell>
          <cell r="X31">
            <v>3</v>
          </cell>
          <cell r="Y31">
            <v>1</v>
          </cell>
          <cell r="Z31">
            <v>76</v>
          </cell>
          <cell r="AA31">
            <v>12</v>
          </cell>
          <cell r="AC31">
            <v>0.3</v>
          </cell>
          <cell r="AD31">
            <v>1</v>
          </cell>
          <cell r="AE31">
            <v>76</v>
          </cell>
          <cell r="AF31">
            <v>1</v>
          </cell>
          <cell r="AH31">
            <v>6</v>
          </cell>
          <cell r="AI31">
            <v>1</v>
          </cell>
          <cell r="AJ31">
            <v>76</v>
          </cell>
          <cell r="AK31">
            <v>12</v>
          </cell>
          <cell r="AM31">
            <v>0.6</v>
          </cell>
          <cell r="AN31">
            <v>1</v>
          </cell>
          <cell r="AO31">
            <v>76</v>
          </cell>
          <cell r="AP31">
            <v>1</v>
          </cell>
          <cell r="AR31">
            <v>0.75</v>
          </cell>
          <cell r="AS31">
            <v>1</v>
          </cell>
          <cell r="AT31">
            <v>80</v>
          </cell>
          <cell r="AU31">
            <v>12</v>
          </cell>
        </row>
        <row r="32">
          <cell r="B32">
            <v>26</v>
          </cell>
          <cell r="C32" t="str">
            <v>Drs. AGUS UTOYO, MM</v>
          </cell>
          <cell r="D32">
            <v>0.9</v>
          </cell>
          <cell r="E32">
            <v>1</v>
          </cell>
          <cell r="F32">
            <v>80</v>
          </cell>
          <cell r="G32">
            <v>1</v>
          </cell>
          <cell r="I32">
            <v>6</v>
          </cell>
          <cell r="J32">
            <v>1</v>
          </cell>
          <cell r="K32">
            <v>80</v>
          </cell>
          <cell r="L32">
            <v>12</v>
          </cell>
          <cell r="N32">
            <v>9</v>
          </cell>
          <cell r="O32">
            <v>1</v>
          </cell>
          <cell r="P32">
            <v>76</v>
          </cell>
          <cell r="Q32">
            <v>12</v>
          </cell>
          <cell r="S32">
            <v>6</v>
          </cell>
          <cell r="T32">
            <v>1</v>
          </cell>
          <cell r="U32">
            <v>76</v>
          </cell>
          <cell r="V32">
            <v>12</v>
          </cell>
          <cell r="X32">
            <v>4.5</v>
          </cell>
          <cell r="Y32">
            <v>1</v>
          </cell>
          <cell r="Z32">
            <v>76</v>
          </cell>
          <cell r="AA32">
            <v>12</v>
          </cell>
          <cell r="AC32">
            <v>0.45</v>
          </cell>
          <cell r="AD32">
            <v>1</v>
          </cell>
          <cell r="AE32">
            <v>76</v>
          </cell>
          <cell r="AF32">
            <v>1</v>
          </cell>
          <cell r="AH32">
            <v>9</v>
          </cell>
          <cell r="AI32">
            <v>1</v>
          </cell>
          <cell r="AJ32">
            <v>76</v>
          </cell>
          <cell r="AK32">
            <v>12</v>
          </cell>
          <cell r="AM32">
            <v>0.9</v>
          </cell>
          <cell r="AN32">
            <v>1</v>
          </cell>
          <cell r="AO32">
            <v>76</v>
          </cell>
          <cell r="AP32">
            <v>1</v>
          </cell>
          <cell r="AR32">
            <v>0.75</v>
          </cell>
          <cell r="AS32">
            <v>1</v>
          </cell>
          <cell r="AT32">
            <v>80</v>
          </cell>
          <cell r="AU32">
            <v>12</v>
          </cell>
        </row>
        <row r="33">
          <cell r="B33">
            <v>27</v>
          </cell>
          <cell r="C33" t="str">
            <v>MARWI, S.Pd.I</v>
          </cell>
          <cell r="D33">
            <v>0.9</v>
          </cell>
          <cell r="E33">
            <v>1</v>
          </cell>
          <cell r="F33">
            <v>80</v>
          </cell>
          <cell r="G33">
            <v>1</v>
          </cell>
          <cell r="I33">
            <v>6</v>
          </cell>
          <cell r="J33">
            <v>1</v>
          </cell>
          <cell r="K33">
            <v>80</v>
          </cell>
          <cell r="L33">
            <v>12</v>
          </cell>
          <cell r="N33">
            <v>9</v>
          </cell>
          <cell r="O33">
            <v>1</v>
          </cell>
          <cell r="P33">
            <v>76</v>
          </cell>
          <cell r="Q33">
            <v>12</v>
          </cell>
          <cell r="S33">
            <v>6</v>
          </cell>
          <cell r="T33">
            <v>1</v>
          </cell>
          <cell r="U33">
            <v>76</v>
          </cell>
          <cell r="V33">
            <v>12</v>
          </cell>
          <cell r="X33">
            <v>4.5</v>
          </cell>
          <cell r="Y33">
            <v>1</v>
          </cell>
          <cell r="Z33">
            <v>76</v>
          </cell>
          <cell r="AA33">
            <v>12</v>
          </cell>
          <cell r="AC33">
            <v>0.45</v>
          </cell>
          <cell r="AD33">
            <v>1</v>
          </cell>
          <cell r="AE33">
            <v>76</v>
          </cell>
          <cell r="AF33">
            <v>1</v>
          </cell>
          <cell r="AH33">
            <v>9</v>
          </cell>
          <cell r="AI33">
            <v>1</v>
          </cell>
          <cell r="AJ33">
            <v>76</v>
          </cell>
          <cell r="AK33">
            <v>12</v>
          </cell>
          <cell r="AM33">
            <v>0.9</v>
          </cell>
          <cell r="AN33">
            <v>1</v>
          </cell>
          <cell r="AO33">
            <v>76</v>
          </cell>
          <cell r="AP33">
            <v>1</v>
          </cell>
          <cell r="AR33">
            <v>0.75</v>
          </cell>
          <cell r="AS33">
            <v>1</v>
          </cell>
          <cell r="AT33">
            <v>80</v>
          </cell>
          <cell r="AU33">
            <v>12</v>
          </cell>
        </row>
        <row r="34">
          <cell r="B34">
            <v>28</v>
          </cell>
          <cell r="C34" t="str">
            <v>SUHARTONO, S.Pd</v>
          </cell>
          <cell r="D34">
            <v>0.9</v>
          </cell>
          <cell r="E34">
            <v>1</v>
          </cell>
          <cell r="F34">
            <v>80</v>
          </cell>
          <cell r="G34">
            <v>1</v>
          </cell>
          <cell r="I34">
            <v>6</v>
          </cell>
          <cell r="J34">
            <v>1</v>
          </cell>
          <cell r="K34">
            <v>80</v>
          </cell>
          <cell r="L34">
            <v>12</v>
          </cell>
          <cell r="N34">
            <v>9</v>
          </cell>
          <cell r="O34">
            <v>1</v>
          </cell>
          <cell r="P34">
            <v>76</v>
          </cell>
          <cell r="Q34">
            <v>12</v>
          </cell>
          <cell r="S34">
            <v>6</v>
          </cell>
          <cell r="T34">
            <v>1</v>
          </cell>
          <cell r="U34">
            <v>76</v>
          </cell>
          <cell r="V34">
            <v>12</v>
          </cell>
          <cell r="X34">
            <v>4.5</v>
          </cell>
          <cell r="Y34">
            <v>1</v>
          </cell>
          <cell r="Z34">
            <v>76</v>
          </cell>
          <cell r="AA34">
            <v>12</v>
          </cell>
          <cell r="AC34">
            <v>0.45</v>
          </cell>
          <cell r="AD34">
            <v>1</v>
          </cell>
          <cell r="AE34">
            <v>76</v>
          </cell>
          <cell r="AF34">
            <v>1</v>
          </cell>
          <cell r="AH34">
            <v>9</v>
          </cell>
          <cell r="AI34">
            <v>1</v>
          </cell>
          <cell r="AJ34">
            <v>76</v>
          </cell>
          <cell r="AK34">
            <v>12</v>
          </cell>
          <cell r="AM34">
            <v>0.9</v>
          </cell>
          <cell r="AN34">
            <v>1</v>
          </cell>
          <cell r="AO34">
            <v>76</v>
          </cell>
          <cell r="AP34">
            <v>1</v>
          </cell>
          <cell r="AR34">
            <v>0.75</v>
          </cell>
          <cell r="AS34">
            <v>1</v>
          </cell>
          <cell r="AT34">
            <v>76</v>
          </cell>
          <cell r="AU34">
            <v>12</v>
          </cell>
        </row>
        <row r="35">
          <cell r="B35">
            <v>29</v>
          </cell>
          <cell r="C35" t="str">
            <v>EUIS KURAISIN, M.Pd</v>
          </cell>
          <cell r="D35">
            <v>0.9</v>
          </cell>
          <cell r="E35">
            <v>1</v>
          </cell>
          <cell r="F35">
            <v>80</v>
          </cell>
          <cell r="G35">
            <v>1</v>
          </cell>
          <cell r="I35">
            <v>6</v>
          </cell>
          <cell r="J35">
            <v>1</v>
          </cell>
          <cell r="K35">
            <v>80</v>
          </cell>
          <cell r="L35">
            <v>12</v>
          </cell>
          <cell r="N35">
            <v>9</v>
          </cell>
          <cell r="O35">
            <v>1</v>
          </cell>
          <cell r="P35">
            <v>76</v>
          </cell>
          <cell r="Q35">
            <v>12</v>
          </cell>
          <cell r="S35">
            <v>6</v>
          </cell>
          <cell r="T35">
            <v>1</v>
          </cell>
          <cell r="U35">
            <v>76</v>
          </cell>
          <cell r="V35">
            <v>12</v>
          </cell>
          <cell r="X35">
            <v>4.5</v>
          </cell>
          <cell r="Y35">
            <v>1</v>
          </cell>
          <cell r="Z35">
            <v>76</v>
          </cell>
          <cell r="AA35">
            <v>12</v>
          </cell>
          <cell r="AC35">
            <v>0.45</v>
          </cell>
          <cell r="AD35">
            <v>1</v>
          </cell>
          <cell r="AE35">
            <v>76</v>
          </cell>
          <cell r="AF35">
            <v>1</v>
          </cell>
          <cell r="AH35">
            <v>9</v>
          </cell>
          <cell r="AI35">
            <v>1</v>
          </cell>
          <cell r="AJ35">
            <v>76</v>
          </cell>
          <cell r="AK35">
            <v>12</v>
          </cell>
          <cell r="AM35">
            <v>0.9</v>
          </cell>
          <cell r="AN35">
            <v>1</v>
          </cell>
          <cell r="AO35">
            <v>76</v>
          </cell>
          <cell r="AP35">
            <v>1</v>
          </cell>
          <cell r="AR35">
            <v>0.75</v>
          </cell>
          <cell r="AS35">
            <v>1</v>
          </cell>
          <cell r="AT35">
            <v>76</v>
          </cell>
          <cell r="AU35">
            <v>12</v>
          </cell>
        </row>
        <row r="36">
          <cell r="B36">
            <v>30</v>
          </cell>
          <cell r="C36" t="str">
            <v>Dra. Hj. NUROZIAH</v>
          </cell>
          <cell r="D36">
            <v>0.9</v>
          </cell>
          <cell r="E36">
            <v>1</v>
          </cell>
          <cell r="F36">
            <v>76</v>
          </cell>
          <cell r="G36">
            <v>1</v>
          </cell>
          <cell r="I36">
            <v>6</v>
          </cell>
          <cell r="J36">
            <v>1</v>
          </cell>
          <cell r="K36">
            <v>80</v>
          </cell>
          <cell r="L36">
            <v>12</v>
          </cell>
          <cell r="N36">
            <v>9</v>
          </cell>
          <cell r="O36">
            <v>1</v>
          </cell>
          <cell r="P36">
            <v>76</v>
          </cell>
          <cell r="Q36">
            <v>12</v>
          </cell>
          <cell r="S36">
            <v>6</v>
          </cell>
          <cell r="T36">
            <v>1</v>
          </cell>
          <cell r="U36">
            <v>76</v>
          </cell>
          <cell r="V36">
            <v>12</v>
          </cell>
          <cell r="X36">
            <v>4.5</v>
          </cell>
          <cell r="Y36">
            <v>1</v>
          </cell>
          <cell r="Z36">
            <v>76</v>
          </cell>
          <cell r="AA36">
            <v>12</v>
          </cell>
          <cell r="AC36">
            <v>0.45</v>
          </cell>
          <cell r="AD36">
            <v>1</v>
          </cell>
          <cell r="AE36">
            <v>70</v>
          </cell>
          <cell r="AF36">
            <v>1</v>
          </cell>
          <cell r="AH36">
            <v>9</v>
          </cell>
          <cell r="AI36">
            <v>1</v>
          </cell>
          <cell r="AJ36">
            <v>70</v>
          </cell>
          <cell r="AK36">
            <v>12</v>
          </cell>
          <cell r="AM36">
            <v>0.9</v>
          </cell>
          <cell r="AN36">
            <v>1</v>
          </cell>
          <cell r="AO36">
            <v>70</v>
          </cell>
          <cell r="AP36">
            <v>1</v>
          </cell>
          <cell r="AR36">
            <v>0.75</v>
          </cell>
          <cell r="AS36">
            <v>1</v>
          </cell>
          <cell r="AT36">
            <v>76</v>
          </cell>
          <cell r="AU36">
            <v>12</v>
          </cell>
        </row>
        <row r="37">
          <cell r="B37" t="str">
            <v/>
          </cell>
          <cell r="C37" t="str">
            <v/>
          </cell>
          <cell r="D37" t="str">
            <v/>
          </cell>
          <cell r="AH37" t="str">
            <v/>
          </cell>
          <cell r="AM37" t="str">
            <v/>
          </cell>
          <cell r="AR37" t="str">
            <v/>
          </cell>
        </row>
        <row r="38">
          <cell r="B38" t="str">
            <v/>
          </cell>
          <cell r="C38" t="str">
            <v/>
          </cell>
          <cell r="D38" t="str">
            <v/>
          </cell>
          <cell r="AH38" t="str">
            <v/>
          </cell>
          <cell r="AM38" t="str">
            <v/>
          </cell>
          <cell r="AR38" t="str">
            <v/>
          </cell>
        </row>
        <row r="39">
          <cell r="B39" t="str">
            <v/>
          </cell>
          <cell r="C39" t="str">
            <v/>
          </cell>
          <cell r="D39" t="str">
            <v/>
          </cell>
          <cell r="AH39" t="str">
            <v/>
          </cell>
          <cell r="AM39" t="str">
            <v/>
          </cell>
          <cell r="AR39" t="str">
            <v/>
          </cell>
        </row>
        <row r="40">
          <cell r="B40" t="str">
            <v/>
          </cell>
          <cell r="C40" t="str">
            <v/>
          </cell>
          <cell r="D40" t="str">
            <v/>
          </cell>
          <cell r="AH40" t="str">
            <v/>
          </cell>
          <cell r="AM40" t="str">
            <v/>
          </cell>
          <cell r="AR40" t="str">
            <v/>
          </cell>
        </row>
        <row r="41">
          <cell r="B41" t="str">
            <v/>
          </cell>
          <cell r="C41" t="str">
            <v/>
          </cell>
          <cell r="D41" t="str">
            <v/>
          </cell>
          <cell r="AH41" t="str">
            <v/>
          </cell>
          <cell r="AM41" t="str">
            <v/>
          </cell>
          <cell r="AR41" t="str">
            <v/>
          </cell>
        </row>
        <row r="42">
          <cell r="B42" t="str">
            <v/>
          </cell>
          <cell r="C42" t="str">
            <v/>
          </cell>
          <cell r="D42" t="str">
            <v/>
          </cell>
          <cell r="AH42" t="str">
            <v/>
          </cell>
          <cell r="AM42" t="str">
            <v/>
          </cell>
          <cell r="AR42" t="str">
            <v/>
          </cell>
        </row>
        <row r="43">
          <cell r="B43" t="str">
            <v/>
          </cell>
          <cell r="C43" t="str">
            <v/>
          </cell>
          <cell r="D43" t="str">
            <v/>
          </cell>
          <cell r="AH43" t="str">
            <v/>
          </cell>
          <cell r="AM43" t="str">
            <v/>
          </cell>
          <cell r="AR43" t="str">
            <v/>
          </cell>
        </row>
        <row r="44">
          <cell r="B44" t="str">
            <v/>
          </cell>
          <cell r="C44" t="str">
            <v/>
          </cell>
          <cell r="D44" t="str">
            <v/>
          </cell>
          <cell r="AH44" t="str">
            <v/>
          </cell>
          <cell r="AM44" t="str">
            <v/>
          </cell>
          <cell r="AR44" t="str">
            <v/>
          </cell>
        </row>
        <row r="45">
          <cell r="B45" t="str">
            <v/>
          </cell>
          <cell r="C45" t="str">
            <v/>
          </cell>
          <cell r="D45" t="str">
            <v/>
          </cell>
          <cell r="AH45" t="str">
            <v/>
          </cell>
          <cell r="AM45" t="str">
            <v/>
          </cell>
          <cell r="AR45" t="str">
            <v/>
          </cell>
        </row>
        <row r="46">
          <cell r="B46" t="str">
            <v/>
          </cell>
          <cell r="C46" t="str">
            <v/>
          </cell>
          <cell r="D46" t="str">
            <v/>
          </cell>
          <cell r="AH46" t="str">
            <v/>
          </cell>
          <cell r="AM46" t="str">
            <v/>
          </cell>
          <cell r="AR46" t="str">
            <v/>
          </cell>
        </row>
        <row r="47">
          <cell r="B47" t="str">
            <v/>
          </cell>
          <cell r="C47" t="str">
            <v/>
          </cell>
          <cell r="D47" t="str">
            <v/>
          </cell>
          <cell r="AH47" t="str">
            <v/>
          </cell>
          <cell r="AM47" t="str">
            <v/>
          </cell>
          <cell r="AR47" t="str">
            <v/>
          </cell>
        </row>
        <row r="48">
          <cell r="B48" t="str">
            <v/>
          </cell>
          <cell r="C48" t="str">
            <v/>
          </cell>
          <cell r="D48" t="str">
            <v/>
          </cell>
          <cell r="AH48" t="str">
            <v/>
          </cell>
          <cell r="AM48" t="str">
            <v/>
          </cell>
          <cell r="AR48" t="str">
            <v/>
          </cell>
        </row>
        <row r="49">
          <cell r="B49" t="str">
            <v/>
          </cell>
          <cell r="C49" t="str">
            <v/>
          </cell>
          <cell r="D49" t="str">
            <v/>
          </cell>
          <cell r="AH49" t="str">
            <v/>
          </cell>
          <cell r="AM49" t="str">
            <v/>
          </cell>
          <cell r="AR49" t="str">
            <v/>
          </cell>
        </row>
        <row r="50">
          <cell r="B50" t="str">
            <v/>
          </cell>
          <cell r="C50" t="str">
            <v/>
          </cell>
          <cell r="D50" t="str">
            <v/>
          </cell>
          <cell r="AH50" t="str">
            <v/>
          </cell>
          <cell r="AM50" t="str">
            <v/>
          </cell>
          <cell r="AR50" t="str">
            <v/>
          </cell>
        </row>
        <row r="51">
          <cell r="B51" t="str">
            <v/>
          </cell>
          <cell r="C51" t="str">
            <v/>
          </cell>
          <cell r="D51" t="str">
            <v/>
          </cell>
          <cell r="AH51" t="str">
            <v/>
          </cell>
          <cell r="AM51" t="str">
            <v/>
          </cell>
          <cell r="AR51" t="str">
            <v/>
          </cell>
        </row>
        <row r="52">
          <cell r="B52" t="str">
            <v/>
          </cell>
          <cell r="C52" t="str">
            <v/>
          </cell>
          <cell r="D52" t="str">
            <v/>
          </cell>
          <cell r="AH52" t="str">
            <v/>
          </cell>
          <cell r="AM52" t="str">
            <v/>
          </cell>
          <cell r="AR52" t="str">
            <v/>
          </cell>
        </row>
        <row r="53">
          <cell r="B53" t="str">
            <v/>
          </cell>
          <cell r="C53" t="str">
            <v/>
          </cell>
          <cell r="D53" t="str">
            <v/>
          </cell>
          <cell r="AH53" t="str">
            <v/>
          </cell>
          <cell r="AM53" t="str">
            <v/>
          </cell>
          <cell r="AR53" t="str">
            <v/>
          </cell>
        </row>
        <row r="54">
          <cell r="B54" t="str">
            <v/>
          </cell>
          <cell r="C54" t="str">
            <v/>
          </cell>
          <cell r="D54" t="str">
            <v/>
          </cell>
          <cell r="AH54" t="str">
            <v/>
          </cell>
          <cell r="AM54" t="str">
            <v/>
          </cell>
          <cell r="AR54" t="str">
            <v/>
          </cell>
        </row>
        <row r="55">
          <cell r="B55" t="str">
            <v/>
          </cell>
          <cell r="C55" t="str">
            <v/>
          </cell>
          <cell r="D55" t="str">
            <v/>
          </cell>
          <cell r="AH55" t="str">
            <v/>
          </cell>
          <cell r="AM55" t="str">
            <v/>
          </cell>
          <cell r="AR55" t="str">
            <v/>
          </cell>
        </row>
        <row r="56">
          <cell r="B56" t="str">
            <v/>
          </cell>
          <cell r="C56" t="str">
            <v/>
          </cell>
          <cell r="D56" t="str">
            <v/>
          </cell>
          <cell r="AH56" t="str">
            <v/>
          </cell>
          <cell r="AM56" t="str">
            <v/>
          </cell>
          <cell r="AR56" t="str">
            <v/>
          </cell>
        </row>
        <row r="57">
          <cell r="B57" t="str">
            <v/>
          </cell>
          <cell r="C57" t="str">
            <v/>
          </cell>
          <cell r="D57" t="str">
            <v/>
          </cell>
          <cell r="AH57" t="str">
            <v/>
          </cell>
          <cell r="AM57" t="str">
            <v/>
          </cell>
          <cell r="AR57" t="str">
            <v/>
          </cell>
        </row>
        <row r="58">
          <cell r="B58" t="str">
            <v/>
          </cell>
          <cell r="C58" t="str">
            <v/>
          </cell>
          <cell r="D58" t="str">
            <v/>
          </cell>
          <cell r="AH58" t="str">
            <v/>
          </cell>
          <cell r="AM58" t="str">
            <v/>
          </cell>
          <cell r="AR58" t="str">
            <v/>
          </cell>
        </row>
        <row r="59">
          <cell r="B59" t="str">
            <v/>
          </cell>
          <cell r="C59" t="str">
            <v/>
          </cell>
          <cell r="D59" t="str">
            <v/>
          </cell>
          <cell r="AH59" t="str">
            <v/>
          </cell>
          <cell r="AM59" t="str">
            <v/>
          </cell>
          <cell r="AR59" t="str">
            <v/>
          </cell>
        </row>
        <row r="60">
          <cell r="B60" t="str">
            <v/>
          </cell>
          <cell r="C60" t="str">
            <v/>
          </cell>
          <cell r="D60" t="str">
            <v/>
          </cell>
          <cell r="AH60" t="str">
            <v/>
          </cell>
          <cell r="AM60" t="str">
            <v/>
          </cell>
          <cell r="AR60" t="str">
            <v/>
          </cell>
        </row>
        <row r="61">
          <cell r="B61" t="str">
            <v/>
          </cell>
          <cell r="C61" t="str">
            <v/>
          </cell>
          <cell r="D61" t="str">
            <v/>
          </cell>
          <cell r="AH61" t="str">
            <v/>
          </cell>
          <cell r="AM61" t="str">
            <v/>
          </cell>
          <cell r="AR61" t="str">
            <v/>
          </cell>
        </row>
        <row r="62">
          <cell r="B62" t="str">
            <v/>
          </cell>
          <cell r="C62" t="str">
            <v/>
          </cell>
          <cell r="D62" t="str">
            <v/>
          </cell>
          <cell r="AH62" t="str">
            <v/>
          </cell>
          <cell r="AM62" t="str">
            <v/>
          </cell>
          <cell r="AR62" t="str">
            <v/>
          </cell>
        </row>
        <row r="63">
          <cell r="B63" t="str">
            <v/>
          </cell>
          <cell r="C63" t="str">
            <v/>
          </cell>
          <cell r="D63" t="str">
            <v/>
          </cell>
          <cell r="AH63" t="str">
            <v/>
          </cell>
          <cell r="AM63" t="str">
            <v/>
          </cell>
          <cell r="AR63" t="str">
            <v/>
          </cell>
        </row>
        <row r="64">
          <cell r="B64" t="str">
            <v/>
          </cell>
          <cell r="C64" t="str">
            <v/>
          </cell>
          <cell r="D64" t="str">
            <v/>
          </cell>
          <cell r="AH64" t="str">
            <v/>
          </cell>
          <cell r="AM64" t="str">
            <v/>
          </cell>
          <cell r="AR64" t="str">
            <v/>
          </cell>
        </row>
        <row r="65">
          <cell r="B65" t="str">
            <v/>
          </cell>
          <cell r="C65" t="str">
            <v/>
          </cell>
          <cell r="D65" t="str">
            <v/>
          </cell>
          <cell r="AH65" t="str">
            <v/>
          </cell>
          <cell r="AM65" t="str">
            <v/>
          </cell>
          <cell r="AR65" t="str">
            <v/>
          </cell>
        </row>
        <row r="66">
          <cell r="B66" t="str">
            <v/>
          </cell>
          <cell r="C66" t="str">
            <v/>
          </cell>
          <cell r="D66" t="str">
            <v/>
          </cell>
          <cell r="AH66" t="str">
            <v/>
          </cell>
          <cell r="AM66" t="str">
            <v/>
          </cell>
          <cell r="AR66" t="str">
            <v/>
          </cell>
        </row>
        <row r="67">
          <cell r="B67" t="str">
            <v/>
          </cell>
          <cell r="C67" t="str">
            <v/>
          </cell>
          <cell r="D67" t="str">
            <v/>
          </cell>
          <cell r="AH67" t="str">
            <v/>
          </cell>
          <cell r="AM67" t="str">
            <v/>
          </cell>
          <cell r="AR67" t="str">
            <v/>
          </cell>
        </row>
        <row r="68">
          <cell r="B68" t="str">
            <v/>
          </cell>
          <cell r="C68" t="str">
            <v/>
          </cell>
          <cell r="D68" t="str">
            <v/>
          </cell>
          <cell r="AH68" t="str">
            <v/>
          </cell>
          <cell r="AM68" t="str">
            <v/>
          </cell>
          <cell r="AR68" t="str">
            <v/>
          </cell>
        </row>
        <row r="69">
          <cell r="B69" t="str">
            <v/>
          </cell>
          <cell r="C69" t="str">
            <v/>
          </cell>
          <cell r="D69" t="str">
            <v/>
          </cell>
          <cell r="AH69" t="str">
            <v/>
          </cell>
          <cell r="AM69" t="str">
            <v/>
          </cell>
          <cell r="AR69" t="str">
            <v/>
          </cell>
        </row>
        <row r="70">
          <cell r="B70" t="str">
            <v/>
          </cell>
          <cell r="C70" t="str">
            <v/>
          </cell>
          <cell r="D70" t="str">
            <v/>
          </cell>
          <cell r="AH70" t="str">
            <v/>
          </cell>
          <cell r="AM70" t="str">
            <v/>
          </cell>
          <cell r="AR70" t="str">
            <v/>
          </cell>
        </row>
        <row r="71">
          <cell r="B71" t="str">
            <v/>
          </cell>
          <cell r="C71" t="str">
            <v/>
          </cell>
          <cell r="D71" t="str">
            <v/>
          </cell>
          <cell r="I71" t="str">
            <v/>
          </cell>
          <cell r="N71" t="str">
            <v/>
          </cell>
          <cell r="S71" t="str">
            <v/>
          </cell>
          <cell r="X71" t="str">
            <v/>
          </cell>
          <cell r="AC71" t="str">
            <v/>
          </cell>
          <cell r="AH71" t="str">
            <v/>
          </cell>
          <cell r="AM71" t="str">
            <v/>
          </cell>
          <cell r="AR71" t="str">
            <v/>
          </cell>
        </row>
        <row r="72">
          <cell r="B72" t="str">
            <v/>
          </cell>
          <cell r="C72" t="str">
            <v/>
          </cell>
          <cell r="D72" t="str">
            <v/>
          </cell>
          <cell r="I72" t="str">
            <v/>
          </cell>
          <cell r="N72" t="str">
            <v/>
          </cell>
          <cell r="S72" t="str">
            <v/>
          </cell>
          <cell r="X72" t="str">
            <v/>
          </cell>
          <cell r="AC72" t="str">
            <v/>
          </cell>
          <cell r="AH72" t="str">
            <v/>
          </cell>
          <cell r="AM72" t="str">
            <v/>
          </cell>
          <cell r="AR72" t="str">
            <v/>
          </cell>
        </row>
        <row r="73">
          <cell r="B73" t="str">
            <v/>
          </cell>
          <cell r="C73" t="str">
            <v/>
          </cell>
          <cell r="D73" t="str">
            <v/>
          </cell>
          <cell r="I73" t="str">
            <v/>
          </cell>
          <cell r="N73" t="str">
            <v/>
          </cell>
          <cell r="S73" t="str">
            <v/>
          </cell>
          <cell r="X73" t="str">
            <v/>
          </cell>
          <cell r="AC73" t="str">
            <v/>
          </cell>
          <cell r="AH73" t="str">
            <v/>
          </cell>
          <cell r="AM73" t="str">
            <v/>
          </cell>
          <cell r="AR73" t="str">
            <v/>
          </cell>
        </row>
        <row r="74">
          <cell r="B74" t="str">
            <v/>
          </cell>
          <cell r="C74" t="str">
            <v/>
          </cell>
          <cell r="D74" t="str">
            <v/>
          </cell>
          <cell r="I74" t="str">
            <v/>
          </cell>
          <cell r="N74" t="str">
            <v/>
          </cell>
          <cell r="S74" t="str">
            <v/>
          </cell>
          <cell r="X74" t="str">
            <v/>
          </cell>
          <cell r="AC74" t="str">
            <v/>
          </cell>
          <cell r="AH74" t="str">
            <v/>
          </cell>
          <cell r="AM74" t="str">
            <v/>
          </cell>
          <cell r="AR74" t="str">
            <v/>
          </cell>
        </row>
        <row r="75">
          <cell r="B75" t="str">
            <v/>
          </cell>
          <cell r="C75" t="str">
            <v/>
          </cell>
          <cell r="D75" t="str">
            <v/>
          </cell>
          <cell r="I75" t="str">
            <v/>
          </cell>
          <cell r="N75" t="str">
            <v/>
          </cell>
          <cell r="S75" t="str">
            <v/>
          </cell>
          <cell r="X75" t="str">
            <v/>
          </cell>
          <cell r="AC75" t="str">
            <v/>
          </cell>
          <cell r="AH75" t="str">
            <v/>
          </cell>
          <cell r="AM75" t="str">
            <v/>
          </cell>
          <cell r="AR75" t="str">
            <v/>
          </cell>
        </row>
        <row r="76">
          <cell r="B76" t="str">
            <v/>
          </cell>
          <cell r="C76" t="str">
            <v/>
          </cell>
          <cell r="D76" t="str">
            <v/>
          </cell>
          <cell r="I76" t="str">
            <v/>
          </cell>
          <cell r="N76" t="str">
            <v/>
          </cell>
          <cell r="S76" t="str">
            <v/>
          </cell>
          <cell r="X76" t="str">
            <v/>
          </cell>
          <cell r="AC76" t="str">
            <v/>
          </cell>
          <cell r="AH76" t="str">
            <v/>
          </cell>
          <cell r="AM76" t="str">
            <v/>
          </cell>
          <cell r="AR76" t="str">
            <v/>
          </cell>
        </row>
        <row r="77">
          <cell r="B77" t="str">
            <v/>
          </cell>
          <cell r="C77" t="str">
            <v/>
          </cell>
          <cell r="D77" t="str">
            <v/>
          </cell>
          <cell r="I77" t="str">
            <v/>
          </cell>
          <cell r="N77" t="str">
            <v/>
          </cell>
          <cell r="S77" t="str">
            <v/>
          </cell>
          <cell r="X77" t="str">
            <v/>
          </cell>
          <cell r="AC77" t="str">
            <v/>
          </cell>
          <cell r="AH77" t="str">
            <v/>
          </cell>
          <cell r="AM77" t="str">
            <v/>
          </cell>
          <cell r="AR77" t="str">
            <v/>
          </cell>
        </row>
        <row r="78">
          <cell r="B78" t="str">
            <v/>
          </cell>
          <cell r="C78" t="str">
            <v/>
          </cell>
          <cell r="D78" t="str">
            <v/>
          </cell>
          <cell r="I78" t="str">
            <v/>
          </cell>
          <cell r="N78" t="str">
            <v/>
          </cell>
          <cell r="S78" t="str">
            <v/>
          </cell>
          <cell r="X78" t="str">
            <v/>
          </cell>
          <cell r="AC78" t="str">
            <v/>
          </cell>
          <cell r="AH78" t="str">
            <v/>
          </cell>
          <cell r="AM78" t="str">
            <v/>
          </cell>
          <cell r="AR78" t="str">
            <v/>
          </cell>
        </row>
        <row r="79">
          <cell r="B79" t="str">
            <v/>
          </cell>
          <cell r="C79" t="str">
            <v/>
          </cell>
          <cell r="D79" t="str">
            <v/>
          </cell>
          <cell r="I79" t="str">
            <v/>
          </cell>
          <cell r="N79" t="str">
            <v/>
          </cell>
          <cell r="S79" t="str">
            <v/>
          </cell>
          <cell r="X79" t="str">
            <v/>
          </cell>
          <cell r="AC79" t="str">
            <v/>
          </cell>
          <cell r="AH79" t="str">
            <v/>
          </cell>
          <cell r="AM79" t="str">
            <v/>
          </cell>
          <cell r="AR79" t="str">
            <v/>
          </cell>
        </row>
        <row r="80">
          <cell r="B80" t="str">
            <v/>
          </cell>
          <cell r="C80" t="str">
            <v/>
          </cell>
          <cell r="D80" t="str">
            <v/>
          </cell>
          <cell r="I80" t="str">
            <v/>
          </cell>
          <cell r="N80" t="str">
            <v/>
          </cell>
          <cell r="S80" t="str">
            <v/>
          </cell>
          <cell r="X80" t="str">
            <v/>
          </cell>
          <cell r="AC80" t="str">
            <v/>
          </cell>
          <cell r="AH80" t="str">
            <v/>
          </cell>
          <cell r="AM80" t="str">
            <v/>
          </cell>
          <cell r="AR80" t="str">
            <v/>
          </cell>
        </row>
        <row r="81">
          <cell r="B81" t="str">
            <v/>
          </cell>
          <cell r="C81" t="str">
            <v/>
          </cell>
          <cell r="D81" t="str">
            <v/>
          </cell>
          <cell r="I81" t="str">
            <v/>
          </cell>
          <cell r="N81" t="str">
            <v/>
          </cell>
          <cell r="S81" t="str">
            <v/>
          </cell>
          <cell r="X81" t="str">
            <v/>
          </cell>
          <cell r="AC81" t="str">
            <v/>
          </cell>
          <cell r="AH81" t="str">
            <v/>
          </cell>
          <cell r="AM81" t="str">
            <v/>
          </cell>
          <cell r="AR81" t="str">
            <v/>
          </cell>
        </row>
        <row r="82">
          <cell r="B82" t="str">
            <v/>
          </cell>
          <cell r="C82" t="str">
            <v/>
          </cell>
          <cell r="D82" t="str">
            <v/>
          </cell>
          <cell r="I82" t="str">
            <v/>
          </cell>
          <cell r="N82" t="str">
            <v/>
          </cell>
          <cell r="S82" t="str">
            <v/>
          </cell>
          <cell r="X82" t="str">
            <v/>
          </cell>
          <cell r="AC82" t="str">
            <v/>
          </cell>
          <cell r="AH82" t="str">
            <v/>
          </cell>
          <cell r="AM82" t="str">
            <v/>
          </cell>
          <cell r="AR82" t="str">
            <v/>
          </cell>
        </row>
        <row r="83">
          <cell r="B83" t="str">
            <v/>
          </cell>
          <cell r="C83" t="str">
            <v/>
          </cell>
          <cell r="D83" t="str">
            <v/>
          </cell>
          <cell r="I83" t="str">
            <v/>
          </cell>
          <cell r="N83" t="str">
            <v/>
          </cell>
          <cell r="S83" t="str">
            <v/>
          </cell>
          <cell r="X83" t="str">
            <v/>
          </cell>
          <cell r="AC83" t="str">
            <v/>
          </cell>
          <cell r="AH83" t="str">
            <v/>
          </cell>
          <cell r="AM83" t="str">
            <v/>
          </cell>
          <cell r="AR83" t="str">
            <v/>
          </cell>
        </row>
        <row r="84">
          <cell r="B84" t="str">
            <v/>
          </cell>
          <cell r="C84" t="str">
            <v/>
          </cell>
          <cell r="D84" t="str">
            <v/>
          </cell>
          <cell r="I84" t="str">
            <v/>
          </cell>
          <cell r="N84" t="str">
            <v/>
          </cell>
          <cell r="S84" t="str">
            <v/>
          </cell>
          <cell r="X84" t="str">
            <v/>
          </cell>
          <cell r="AC84" t="str">
            <v/>
          </cell>
          <cell r="AH84" t="str">
            <v/>
          </cell>
          <cell r="AM84" t="str">
            <v/>
          </cell>
          <cell r="AR84" t="str">
            <v/>
          </cell>
        </row>
        <row r="85">
          <cell r="B85" t="str">
            <v/>
          </cell>
          <cell r="C85" t="str">
            <v/>
          </cell>
          <cell r="D85" t="str">
            <v/>
          </cell>
          <cell r="I85" t="str">
            <v/>
          </cell>
          <cell r="N85" t="str">
            <v/>
          </cell>
          <cell r="S85" t="str">
            <v/>
          </cell>
          <cell r="X85" t="str">
            <v/>
          </cell>
          <cell r="AC85" t="str">
            <v/>
          </cell>
          <cell r="AH85" t="str">
            <v/>
          </cell>
          <cell r="AM85" t="str">
            <v/>
          </cell>
          <cell r="AR85" t="str">
            <v/>
          </cell>
        </row>
        <row r="86">
          <cell r="B86" t="str">
            <v/>
          </cell>
          <cell r="C86" t="str">
            <v/>
          </cell>
          <cell r="D86" t="str">
            <v/>
          </cell>
          <cell r="I86" t="str">
            <v/>
          </cell>
          <cell r="N86" t="str">
            <v/>
          </cell>
          <cell r="S86" t="str">
            <v/>
          </cell>
          <cell r="X86" t="str">
            <v/>
          </cell>
          <cell r="AC86" t="str">
            <v/>
          </cell>
          <cell r="AH86" t="str">
            <v/>
          </cell>
          <cell r="AM86" t="str">
            <v/>
          </cell>
          <cell r="AR86" t="str">
            <v/>
          </cell>
        </row>
        <row r="87">
          <cell r="B87" t="str">
            <v/>
          </cell>
          <cell r="C87" t="str">
            <v/>
          </cell>
          <cell r="D87" t="str">
            <v/>
          </cell>
          <cell r="I87" t="str">
            <v/>
          </cell>
          <cell r="N87" t="str">
            <v/>
          </cell>
          <cell r="S87" t="str">
            <v/>
          </cell>
          <cell r="X87" t="str">
            <v/>
          </cell>
          <cell r="AC87" t="str">
            <v/>
          </cell>
          <cell r="AH87" t="str">
            <v/>
          </cell>
          <cell r="AM87" t="str">
            <v/>
          </cell>
          <cell r="AR87" t="str">
            <v/>
          </cell>
        </row>
        <row r="88">
          <cell r="B88" t="str">
            <v/>
          </cell>
          <cell r="C88" t="str">
            <v/>
          </cell>
          <cell r="D88" t="str">
            <v/>
          </cell>
          <cell r="I88" t="str">
            <v/>
          </cell>
          <cell r="N88" t="str">
            <v/>
          </cell>
          <cell r="S88" t="str">
            <v/>
          </cell>
          <cell r="X88" t="str">
            <v/>
          </cell>
          <cell r="AC88" t="str">
            <v/>
          </cell>
          <cell r="AH88" t="str">
            <v/>
          </cell>
          <cell r="AM88" t="str">
            <v/>
          </cell>
          <cell r="AR88" t="str">
            <v/>
          </cell>
        </row>
        <row r="89">
          <cell r="B89" t="str">
            <v/>
          </cell>
          <cell r="C89" t="str">
            <v/>
          </cell>
          <cell r="D89" t="str">
            <v/>
          </cell>
          <cell r="I89" t="str">
            <v/>
          </cell>
          <cell r="N89" t="str">
            <v/>
          </cell>
          <cell r="S89" t="str">
            <v/>
          </cell>
          <cell r="X89" t="str">
            <v/>
          </cell>
          <cell r="AC89" t="str">
            <v/>
          </cell>
          <cell r="AH89" t="str">
            <v/>
          </cell>
          <cell r="AM89" t="str">
            <v/>
          </cell>
          <cell r="AR89" t="str">
            <v/>
          </cell>
        </row>
        <row r="90">
          <cell r="B90" t="str">
            <v/>
          </cell>
          <cell r="C90" t="str">
            <v/>
          </cell>
          <cell r="D90" t="str">
            <v/>
          </cell>
          <cell r="I90" t="str">
            <v/>
          </cell>
          <cell r="N90" t="str">
            <v/>
          </cell>
          <cell r="S90" t="str">
            <v/>
          </cell>
          <cell r="X90" t="str">
            <v/>
          </cell>
          <cell r="AC90" t="str">
            <v/>
          </cell>
          <cell r="AH90" t="str">
            <v/>
          </cell>
          <cell r="AM90" t="str">
            <v/>
          </cell>
          <cell r="AR90" t="str">
            <v/>
          </cell>
        </row>
        <row r="91">
          <cell r="B91" t="str">
            <v/>
          </cell>
          <cell r="C91" t="str">
            <v/>
          </cell>
          <cell r="D91" t="str">
            <v/>
          </cell>
          <cell r="I91" t="str">
            <v/>
          </cell>
          <cell r="N91" t="str">
            <v/>
          </cell>
          <cell r="S91" t="str">
            <v/>
          </cell>
          <cell r="X91" t="str">
            <v/>
          </cell>
          <cell r="AC91" t="str">
            <v/>
          </cell>
          <cell r="AH91" t="str">
            <v/>
          </cell>
          <cell r="AM91" t="str">
            <v/>
          </cell>
          <cell r="AR91" t="str">
            <v/>
          </cell>
        </row>
        <row r="92">
          <cell r="B92" t="str">
            <v/>
          </cell>
          <cell r="C92" t="str">
            <v/>
          </cell>
          <cell r="D92" t="str">
            <v/>
          </cell>
          <cell r="I92" t="str">
            <v/>
          </cell>
          <cell r="N92" t="str">
            <v/>
          </cell>
          <cell r="S92" t="str">
            <v/>
          </cell>
          <cell r="X92" t="str">
            <v/>
          </cell>
          <cell r="AC92" t="str">
            <v/>
          </cell>
          <cell r="AH92" t="str">
            <v/>
          </cell>
          <cell r="AM92" t="str">
            <v/>
          </cell>
          <cell r="AR92" t="str">
            <v/>
          </cell>
        </row>
        <row r="93">
          <cell r="B93" t="str">
            <v/>
          </cell>
          <cell r="C93" t="str">
            <v/>
          </cell>
          <cell r="D93" t="str">
            <v/>
          </cell>
          <cell r="I93" t="str">
            <v/>
          </cell>
          <cell r="N93" t="str">
            <v/>
          </cell>
          <cell r="S93" t="str">
            <v/>
          </cell>
          <cell r="X93" t="str">
            <v/>
          </cell>
          <cell r="AC93" t="str">
            <v/>
          </cell>
          <cell r="AH93" t="str">
            <v/>
          </cell>
          <cell r="AM93" t="str">
            <v/>
          </cell>
          <cell r="AR93" t="str">
            <v/>
          </cell>
        </row>
        <row r="94">
          <cell r="B94" t="str">
            <v/>
          </cell>
          <cell r="C94" t="str">
            <v/>
          </cell>
          <cell r="D94" t="str">
            <v/>
          </cell>
          <cell r="I94" t="str">
            <v/>
          </cell>
          <cell r="N94" t="str">
            <v/>
          </cell>
          <cell r="S94" t="str">
            <v/>
          </cell>
          <cell r="X94" t="str">
            <v/>
          </cell>
          <cell r="AC94" t="str">
            <v/>
          </cell>
          <cell r="AH94" t="str">
            <v/>
          </cell>
          <cell r="AM94" t="str">
            <v/>
          </cell>
          <cell r="AR94" t="str">
            <v/>
          </cell>
        </row>
        <row r="95">
          <cell r="B95" t="str">
            <v/>
          </cell>
          <cell r="C95" t="str">
            <v/>
          </cell>
          <cell r="D95" t="str">
            <v/>
          </cell>
          <cell r="I95" t="str">
            <v/>
          </cell>
          <cell r="N95" t="str">
            <v/>
          </cell>
          <cell r="S95" t="str">
            <v/>
          </cell>
          <cell r="X95" t="str">
            <v/>
          </cell>
          <cell r="AC95" t="str">
            <v/>
          </cell>
          <cell r="AH95" t="str">
            <v/>
          </cell>
          <cell r="AM95" t="str">
            <v/>
          </cell>
          <cell r="AR95" t="str">
            <v/>
          </cell>
        </row>
        <row r="96">
          <cell r="B96" t="str">
            <v/>
          </cell>
          <cell r="C96" t="str">
            <v/>
          </cell>
          <cell r="D96" t="str">
            <v/>
          </cell>
          <cell r="I96" t="str">
            <v/>
          </cell>
          <cell r="N96" t="str">
            <v/>
          </cell>
          <cell r="S96" t="str">
            <v/>
          </cell>
          <cell r="X96" t="str">
            <v/>
          </cell>
          <cell r="AC96" t="str">
            <v/>
          </cell>
          <cell r="AH96" t="str">
            <v/>
          </cell>
          <cell r="AM96" t="str">
            <v/>
          </cell>
          <cell r="AR96" t="str">
            <v/>
          </cell>
        </row>
        <row r="97">
          <cell r="B97" t="str">
            <v/>
          </cell>
          <cell r="C97" t="str">
            <v/>
          </cell>
          <cell r="D97" t="str">
            <v/>
          </cell>
          <cell r="I97" t="str">
            <v/>
          </cell>
          <cell r="N97" t="str">
            <v/>
          </cell>
          <cell r="S97" t="str">
            <v/>
          </cell>
          <cell r="X97" t="str">
            <v/>
          </cell>
          <cell r="AC97" t="str">
            <v/>
          </cell>
          <cell r="AH97" t="str">
            <v/>
          </cell>
          <cell r="AM97" t="str">
            <v/>
          </cell>
          <cell r="AR97" t="str">
            <v/>
          </cell>
        </row>
        <row r="98">
          <cell r="B98" t="str">
            <v/>
          </cell>
          <cell r="C98" t="str">
            <v/>
          </cell>
          <cell r="D98" t="str">
            <v/>
          </cell>
          <cell r="I98" t="str">
            <v/>
          </cell>
          <cell r="N98" t="str">
            <v/>
          </cell>
          <cell r="S98" t="str">
            <v/>
          </cell>
          <cell r="X98" t="str">
            <v/>
          </cell>
          <cell r="AC98" t="str">
            <v/>
          </cell>
          <cell r="AH98" t="str">
            <v/>
          </cell>
          <cell r="AM98" t="str">
            <v/>
          </cell>
          <cell r="AR98" t="str">
            <v/>
          </cell>
        </row>
        <row r="99">
          <cell r="B99" t="str">
            <v/>
          </cell>
          <cell r="C99" t="str">
            <v/>
          </cell>
          <cell r="D99" t="str">
            <v/>
          </cell>
          <cell r="I99" t="str">
            <v/>
          </cell>
          <cell r="N99" t="str">
            <v/>
          </cell>
          <cell r="S99" t="str">
            <v/>
          </cell>
          <cell r="X99" t="str">
            <v/>
          </cell>
          <cell r="AC99" t="str">
            <v/>
          </cell>
          <cell r="AH99" t="str">
            <v/>
          </cell>
          <cell r="AM99" t="str">
            <v/>
          </cell>
          <cell r="AR99" t="str">
            <v/>
          </cell>
        </row>
        <row r="100">
          <cell r="B100" t="str">
            <v/>
          </cell>
          <cell r="C100" t="str">
            <v/>
          </cell>
          <cell r="D100" t="str">
            <v/>
          </cell>
          <cell r="I100" t="str">
            <v/>
          </cell>
          <cell r="N100" t="str">
            <v/>
          </cell>
          <cell r="S100" t="str">
            <v/>
          </cell>
          <cell r="X100" t="str">
            <v/>
          </cell>
          <cell r="AC100" t="str">
            <v/>
          </cell>
          <cell r="AH100" t="str">
            <v/>
          </cell>
          <cell r="AM100" t="str">
            <v/>
          </cell>
          <cell r="AR100" t="str">
            <v/>
          </cell>
        </row>
        <row r="101">
          <cell r="B101" t="str">
            <v/>
          </cell>
          <cell r="C101" t="str">
            <v/>
          </cell>
          <cell r="D101" t="str">
            <v/>
          </cell>
          <cell r="I101" t="str">
            <v/>
          </cell>
          <cell r="N101" t="str">
            <v/>
          </cell>
          <cell r="S101" t="str">
            <v/>
          </cell>
          <cell r="X101" t="str">
            <v/>
          </cell>
          <cell r="AC101" t="str">
            <v/>
          </cell>
          <cell r="AH101" t="str">
            <v/>
          </cell>
          <cell r="AM101" t="str">
            <v/>
          </cell>
          <cell r="AR101" t="str">
            <v/>
          </cell>
        </row>
        <row r="102">
          <cell r="B102" t="str">
            <v/>
          </cell>
          <cell r="C102" t="str">
            <v/>
          </cell>
          <cell r="D102" t="str">
            <v/>
          </cell>
          <cell r="I102" t="str">
            <v/>
          </cell>
          <cell r="N102" t="str">
            <v/>
          </cell>
          <cell r="S102" t="str">
            <v/>
          </cell>
          <cell r="X102" t="str">
            <v/>
          </cell>
          <cell r="AC102" t="str">
            <v/>
          </cell>
          <cell r="AH102" t="str">
            <v/>
          </cell>
          <cell r="AM102" t="str">
            <v/>
          </cell>
          <cell r="AR102" t="str">
            <v/>
          </cell>
        </row>
        <row r="103">
          <cell r="B103" t="str">
            <v/>
          </cell>
          <cell r="C103" t="str">
            <v/>
          </cell>
          <cell r="D103" t="str">
            <v/>
          </cell>
          <cell r="I103" t="str">
            <v/>
          </cell>
          <cell r="N103" t="str">
            <v/>
          </cell>
          <cell r="S103" t="str">
            <v/>
          </cell>
          <cell r="X103" t="str">
            <v/>
          </cell>
          <cell r="AC103" t="str">
            <v/>
          </cell>
          <cell r="AH103" t="str">
            <v/>
          </cell>
          <cell r="AM103" t="str">
            <v/>
          </cell>
          <cell r="AR103" t="str">
            <v/>
          </cell>
        </row>
        <row r="104">
          <cell r="B104" t="str">
            <v/>
          </cell>
          <cell r="C104" t="str">
            <v/>
          </cell>
          <cell r="D104" t="str">
            <v/>
          </cell>
          <cell r="I104" t="str">
            <v/>
          </cell>
          <cell r="N104" t="str">
            <v/>
          </cell>
          <cell r="S104" t="str">
            <v/>
          </cell>
          <cell r="X104" t="str">
            <v/>
          </cell>
          <cell r="AC104" t="str">
            <v/>
          </cell>
          <cell r="AH104" t="str">
            <v/>
          </cell>
          <cell r="AM104" t="str">
            <v/>
          </cell>
          <cell r="AR104" t="str">
            <v/>
          </cell>
        </row>
        <row r="105">
          <cell r="B105" t="str">
            <v/>
          </cell>
          <cell r="C105" t="str">
            <v/>
          </cell>
          <cell r="D105" t="str">
            <v/>
          </cell>
          <cell r="I105" t="str">
            <v/>
          </cell>
          <cell r="N105" t="str">
            <v/>
          </cell>
          <cell r="S105" t="str">
            <v/>
          </cell>
          <cell r="X105" t="str">
            <v/>
          </cell>
          <cell r="AC105" t="str">
            <v/>
          </cell>
          <cell r="AH105" t="str">
            <v/>
          </cell>
          <cell r="AM105" t="str">
            <v/>
          </cell>
          <cell r="AR105" t="str">
            <v/>
          </cell>
        </row>
        <row r="106">
          <cell r="B106" t="str">
            <v/>
          </cell>
          <cell r="C106" t="str">
            <v/>
          </cell>
          <cell r="D106" t="str">
            <v/>
          </cell>
          <cell r="I106" t="str">
            <v/>
          </cell>
          <cell r="N106" t="str">
            <v/>
          </cell>
          <cell r="S106" t="str">
            <v/>
          </cell>
          <cell r="X106" t="str">
            <v/>
          </cell>
          <cell r="AC106" t="str">
            <v/>
          </cell>
          <cell r="AH106" t="str">
            <v/>
          </cell>
          <cell r="AM106" t="str">
            <v/>
          </cell>
          <cell r="AR106" t="str">
            <v/>
          </cell>
        </row>
        <row r="107">
          <cell r="B107" t="str">
            <v/>
          </cell>
          <cell r="C107" t="str">
            <v/>
          </cell>
          <cell r="D107" t="str">
            <v/>
          </cell>
          <cell r="I107" t="str">
            <v/>
          </cell>
          <cell r="N107" t="str">
            <v/>
          </cell>
          <cell r="S107" t="str">
            <v/>
          </cell>
          <cell r="X107" t="str">
            <v/>
          </cell>
          <cell r="AC107" t="str">
            <v/>
          </cell>
          <cell r="AH107" t="str">
            <v/>
          </cell>
          <cell r="AM107" t="str">
            <v/>
          </cell>
          <cell r="AR107" t="str">
            <v/>
          </cell>
        </row>
        <row r="108">
          <cell r="B108" t="str">
            <v/>
          </cell>
          <cell r="C108" t="str">
            <v/>
          </cell>
          <cell r="D108" t="str">
            <v/>
          </cell>
          <cell r="I108" t="str">
            <v/>
          </cell>
          <cell r="N108" t="str">
            <v/>
          </cell>
          <cell r="S108" t="str">
            <v/>
          </cell>
          <cell r="X108" t="str">
            <v/>
          </cell>
          <cell r="AC108" t="str">
            <v/>
          </cell>
          <cell r="AH108" t="str">
            <v/>
          </cell>
          <cell r="AM108" t="str">
            <v/>
          </cell>
          <cell r="AR108" t="str">
            <v/>
          </cell>
        </row>
        <row r="109">
          <cell r="B109" t="str">
            <v/>
          </cell>
          <cell r="C109" t="str">
            <v/>
          </cell>
          <cell r="D109" t="str">
            <v/>
          </cell>
          <cell r="I109" t="str">
            <v/>
          </cell>
          <cell r="N109" t="str">
            <v/>
          </cell>
          <cell r="S109" t="str">
            <v/>
          </cell>
          <cell r="X109" t="str">
            <v/>
          </cell>
          <cell r="AC109" t="str">
            <v/>
          </cell>
          <cell r="AH109" t="str">
            <v/>
          </cell>
          <cell r="AM109" t="str">
            <v/>
          </cell>
          <cell r="AR109" t="str">
            <v/>
          </cell>
        </row>
        <row r="110">
          <cell r="B110" t="str">
            <v/>
          </cell>
          <cell r="C110" t="str">
            <v/>
          </cell>
          <cell r="D110" t="str">
            <v/>
          </cell>
          <cell r="I110" t="str">
            <v/>
          </cell>
          <cell r="N110" t="str">
            <v/>
          </cell>
          <cell r="S110" t="str">
            <v/>
          </cell>
          <cell r="X110" t="str">
            <v/>
          </cell>
          <cell r="AC110" t="str">
            <v/>
          </cell>
          <cell r="AH110" t="str">
            <v/>
          </cell>
          <cell r="AM110" t="str">
            <v/>
          </cell>
          <cell r="AR110" t="str">
            <v/>
          </cell>
        </row>
        <row r="111">
          <cell r="B111" t="str">
            <v/>
          </cell>
          <cell r="C111" t="str">
            <v/>
          </cell>
          <cell r="D111" t="str">
            <v/>
          </cell>
          <cell r="I111" t="str">
            <v/>
          </cell>
          <cell r="N111" t="str">
            <v/>
          </cell>
          <cell r="S111" t="str">
            <v/>
          </cell>
          <cell r="X111" t="str">
            <v/>
          </cell>
          <cell r="AC111" t="str">
            <v/>
          </cell>
          <cell r="AH111" t="str">
            <v/>
          </cell>
          <cell r="AM111" t="str">
            <v/>
          </cell>
          <cell r="AR111" t="str">
            <v/>
          </cell>
        </row>
        <row r="112">
          <cell r="B112" t="str">
            <v/>
          </cell>
          <cell r="C112" t="str">
            <v/>
          </cell>
          <cell r="D112" t="str">
            <v/>
          </cell>
          <cell r="I112" t="str">
            <v/>
          </cell>
          <cell r="N112" t="str">
            <v/>
          </cell>
          <cell r="S112" t="str">
            <v/>
          </cell>
          <cell r="X112" t="str">
            <v/>
          </cell>
          <cell r="AC112" t="str">
            <v/>
          </cell>
          <cell r="AH112" t="str">
            <v/>
          </cell>
          <cell r="AM112" t="str">
            <v/>
          </cell>
          <cell r="AR112" t="str">
            <v/>
          </cell>
        </row>
        <row r="113">
          <cell r="B113" t="str">
            <v/>
          </cell>
          <cell r="C113" t="str">
            <v/>
          </cell>
          <cell r="D113" t="str">
            <v/>
          </cell>
          <cell r="I113" t="str">
            <v/>
          </cell>
          <cell r="N113" t="str">
            <v/>
          </cell>
          <cell r="S113" t="str">
            <v/>
          </cell>
          <cell r="X113" t="str">
            <v/>
          </cell>
          <cell r="AC113" t="str">
            <v/>
          </cell>
          <cell r="AH113" t="str">
            <v/>
          </cell>
          <cell r="AM113" t="str">
            <v/>
          </cell>
          <cell r="AR113" t="str">
            <v/>
          </cell>
        </row>
        <row r="114">
          <cell r="B114" t="str">
            <v/>
          </cell>
          <cell r="C114" t="str">
            <v/>
          </cell>
          <cell r="D114" t="str">
            <v/>
          </cell>
          <cell r="I114" t="str">
            <v/>
          </cell>
          <cell r="N114" t="str">
            <v/>
          </cell>
          <cell r="S114" t="str">
            <v/>
          </cell>
          <cell r="X114" t="str">
            <v/>
          </cell>
          <cell r="AC114" t="str">
            <v/>
          </cell>
          <cell r="AH114" t="str">
            <v/>
          </cell>
          <cell r="AM114" t="str">
            <v/>
          </cell>
          <cell r="AR114" t="str">
            <v/>
          </cell>
        </row>
        <row r="115">
          <cell r="B115" t="str">
            <v/>
          </cell>
          <cell r="C115" t="str">
            <v/>
          </cell>
          <cell r="D115" t="str">
            <v/>
          </cell>
          <cell r="I115" t="str">
            <v/>
          </cell>
          <cell r="N115" t="str">
            <v/>
          </cell>
          <cell r="S115" t="str">
            <v/>
          </cell>
          <cell r="X115" t="str">
            <v/>
          </cell>
          <cell r="AC115" t="str">
            <v/>
          </cell>
          <cell r="AH115" t="str">
            <v/>
          </cell>
          <cell r="AM115" t="str">
            <v/>
          </cell>
          <cell r="AR115" t="str">
            <v/>
          </cell>
        </row>
        <row r="116">
          <cell r="B116" t="str">
            <v/>
          </cell>
          <cell r="C116" t="str">
            <v/>
          </cell>
          <cell r="D116" t="str">
            <v/>
          </cell>
          <cell r="I116" t="str">
            <v/>
          </cell>
          <cell r="N116" t="str">
            <v/>
          </cell>
          <cell r="S116" t="str">
            <v/>
          </cell>
          <cell r="X116" t="str">
            <v/>
          </cell>
          <cell r="AC116" t="str">
            <v/>
          </cell>
          <cell r="AH116" t="str">
            <v/>
          </cell>
          <cell r="AM116" t="str">
            <v/>
          </cell>
          <cell r="AR116" t="str">
            <v/>
          </cell>
        </row>
        <row r="117">
          <cell r="B117" t="str">
            <v/>
          </cell>
          <cell r="C117" t="str">
            <v/>
          </cell>
          <cell r="D117" t="str">
            <v/>
          </cell>
          <cell r="I117" t="str">
            <v/>
          </cell>
          <cell r="N117" t="str">
            <v/>
          </cell>
          <cell r="S117" t="str">
            <v/>
          </cell>
          <cell r="X117" t="str">
            <v/>
          </cell>
          <cell r="AC117" t="str">
            <v/>
          </cell>
          <cell r="AH117" t="str">
            <v/>
          </cell>
          <cell r="AM117" t="str">
            <v/>
          </cell>
          <cell r="AR117" t="str">
            <v/>
          </cell>
        </row>
        <row r="118">
          <cell r="B118" t="str">
            <v/>
          </cell>
          <cell r="C118" t="str">
            <v/>
          </cell>
          <cell r="D118" t="str">
            <v/>
          </cell>
          <cell r="I118" t="str">
            <v/>
          </cell>
          <cell r="N118" t="str">
            <v/>
          </cell>
          <cell r="S118" t="str">
            <v/>
          </cell>
          <cell r="X118" t="str">
            <v/>
          </cell>
          <cell r="AC118" t="str">
            <v/>
          </cell>
          <cell r="AH118" t="str">
            <v/>
          </cell>
          <cell r="AM118" t="str">
            <v/>
          </cell>
          <cell r="AR118" t="str">
            <v/>
          </cell>
        </row>
        <row r="119">
          <cell r="B119" t="str">
            <v/>
          </cell>
          <cell r="C119" t="str">
            <v/>
          </cell>
          <cell r="D119" t="str">
            <v/>
          </cell>
          <cell r="I119" t="str">
            <v/>
          </cell>
          <cell r="N119" t="str">
            <v/>
          </cell>
          <cell r="S119" t="str">
            <v/>
          </cell>
          <cell r="X119" t="str">
            <v/>
          </cell>
          <cell r="AC119" t="str">
            <v/>
          </cell>
          <cell r="AH119" t="str">
            <v/>
          </cell>
          <cell r="AM119" t="str">
            <v/>
          </cell>
          <cell r="AR119" t="str">
            <v/>
          </cell>
        </row>
        <row r="120">
          <cell r="B120" t="str">
            <v/>
          </cell>
          <cell r="C120" t="str">
            <v/>
          </cell>
          <cell r="D120" t="str">
            <v/>
          </cell>
          <cell r="I120" t="str">
            <v/>
          </cell>
          <cell r="N120" t="str">
            <v/>
          </cell>
          <cell r="S120" t="str">
            <v/>
          </cell>
          <cell r="X120" t="str">
            <v/>
          </cell>
          <cell r="AC120" t="str">
            <v/>
          </cell>
          <cell r="AH120" t="str">
            <v/>
          </cell>
          <cell r="AM120" t="str">
            <v/>
          </cell>
          <cell r="AR120" t="str">
            <v/>
          </cell>
        </row>
        <row r="121">
          <cell r="B121" t="str">
            <v/>
          </cell>
          <cell r="C121" t="str">
            <v/>
          </cell>
          <cell r="D121" t="str">
            <v/>
          </cell>
          <cell r="I121" t="str">
            <v/>
          </cell>
          <cell r="N121" t="str">
            <v/>
          </cell>
          <cell r="S121" t="str">
            <v/>
          </cell>
          <cell r="X121" t="str">
            <v/>
          </cell>
          <cell r="AC121" t="str">
            <v/>
          </cell>
          <cell r="AH121" t="str">
            <v/>
          </cell>
          <cell r="AM121" t="str">
            <v/>
          </cell>
          <cell r="AR121" t="str">
            <v/>
          </cell>
        </row>
        <row r="122">
          <cell r="B122" t="str">
            <v/>
          </cell>
          <cell r="C122" t="str">
            <v/>
          </cell>
          <cell r="D122" t="str">
            <v/>
          </cell>
          <cell r="I122" t="str">
            <v/>
          </cell>
          <cell r="N122" t="str">
            <v/>
          </cell>
          <cell r="S122" t="str">
            <v/>
          </cell>
          <cell r="X122" t="str">
            <v/>
          </cell>
          <cell r="AC122" t="str">
            <v/>
          </cell>
          <cell r="AH122" t="str">
            <v/>
          </cell>
          <cell r="AM122" t="str">
            <v/>
          </cell>
          <cell r="AR122" t="str">
            <v/>
          </cell>
        </row>
        <row r="123">
          <cell r="B123" t="str">
            <v/>
          </cell>
          <cell r="C123" t="str">
            <v/>
          </cell>
          <cell r="D123" t="str">
            <v/>
          </cell>
          <cell r="I123" t="str">
            <v/>
          </cell>
          <cell r="N123" t="str">
            <v/>
          </cell>
          <cell r="S123" t="str">
            <v/>
          </cell>
          <cell r="X123" t="str">
            <v/>
          </cell>
          <cell r="AC123" t="str">
            <v/>
          </cell>
          <cell r="AH123" t="str">
            <v/>
          </cell>
          <cell r="AM123" t="str">
            <v/>
          </cell>
          <cell r="AR123" t="str">
            <v/>
          </cell>
        </row>
        <row r="124">
          <cell r="B124" t="str">
            <v/>
          </cell>
          <cell r="C124" t="str">
            <v/>
          </cell>
          <cell r="D124" t="str">
            <v/>
          </cell>
          <cell r="I124" t="str">
            <v/>
          </cell>
          <cell r="N124" t="str">
            <v/>
          </cell>
          <cell r="S124" t="str">
            <v/>
          </cell>
          <cell r="X124" t="str">
            <v/>
          </cell>
          <cell r="AC124" t="str">
            <v/>
          </cell>
          <cell r="AH124" t="str">
            <v/>
          </cell>
          <cell r="AM124" t="str">
            <v/>
          </cell>
          <cell r="AR124" t="str">
            <v/>
          </cell>
        </row>
        <row r="125">
          <cell r="B125" t="str">
            <v/>
          </cell>
          <cell r="C125" t="str">
            <v/>
          </cell>
          <cell r="D125" t="str">
            <v/>
          </cell>
          <cell r="I125" t="str">
            <v/>
          </cell>
          <cell r="N125" t="str">
            <v/>
          </cell>
          <cell r="S125" t="str">
            <v/>
          </cell>
          <cell r="X125" t="str">
            <v/>
          </cell>
          <cell r="AC125" t="str">
            <v/>
          </cell>
          <cell r="AH125" t="str">
            <v/>
          </cell>
          <cell r="AM125" t="str">
            <v/>
          </cell>
          <cell r="AR125" t="str">
            <v/>
          </cell>
        </row>
        <row r="126">
          <cell r="B126" t="str">
            <v/>
          </cell>
          <cell r="C126" t="str">
            <v/>
          </cell>
          <cell r="D126" t="str">
            <v/>
          </cell>
          <cell r="I126" t="str">
            <v/>
          </cell>
          <cell r="N126" t="str">
            <v/>
          </cell>
          <cell r="S126" t="str">
            <v/>
          </cell>
          <cell r="X126" t="str">
            <v/>
          </cell>
          <cell r="AC126" t="str">
            <v/>
          </cell>
          <cell r="AH126" t="str">
            <v/>
          </cell>
          <cell r="AM126" t="str">
            <v/>
          </cell>
          <cell r="AR126" t="str">
            <v/>
          </cell>
        </row>
        <row r="127">
          <cell r="B127" t="str">
            <v/>
          </cell>
          <cell r="C127" t="str">
            <v/>
          </cell>
          <cell r="D127" t="str">
            <v/>
          </cell>
          <cell r="I127" t="str">
            <v/>
          </cell>
          <cell r="N127" t="str">
            <v/>
          </cell>
          <cell r="S127" t="str">
            <v/>
          </cell>
          <cell r="X127" t="str">
            <v/>
          </cell>
          <cell r="AC127" t="str">
            <v/>
          </cell>
          <cell r="AH127" t="str">
            <v/>
          </cell>
          <cell r="AM127" t="str">
            <v/>
          </cell>
          <cell r="AR127" t="str">
            <v/>
          </cell>
        </row>
        <row r="128">
          <cell r="B128" t="str">
            <v/>
          </cell>
          <cell r="C128" t="str">
            <v/>
          </cell>
          <cell r="D128" t="str">
            <v/>
          </cell>
          <cell r="I128" t="str">
            <v/>
          </cell>
          <cell r="N128" t="str">
            <v/>
          </cell>
          <cell r="S128" t="str">
            <v/>
          </cell>
          <cell r="X128" t="str">
            <v/>
          </cell>
          <cell r="AC128" t="str">
            <v/>
          </cell>
          <cell r="AH128" t="str">
            <v/>
          </cell>
          <cell r="AM128" t="str">
            <v/>
          </cell>
          <cell r="AR128" t="str">
            <v/>
          </cell>
        </row>
        <row r="129">
          <cell r="B129" t="str">
            <v/>
          </cell>
          <cell r="C129" t="str">
            <v/>
          </cell>
          <cell r="D129" t="str">
            <v/>
          </cell>
          <cell r="I129" t="str">
            <v/>
          </cell>
          <cell r="N129" t="str">
            <v/>
          </cell>
          <cell r="S129" t="str">
            <v/>
          </cell>
          <cell r="X129" t="str">
            <v/>
          </cell>
          <cell r="AC129" t="str">
            <v/>
          </cell>
          <cell r="AH129" t="str">
            <v/>
          </cell>
          <cell r="AM129" t="str">
            <v/>
          </cell>
          <cell r="AR129" t="str">
            <v/>
          </cell>
        </row>
        <row r="130">
          <cell r="B130" t="str">
            <v/>
          </cell>
          <cell r="C130" t="str">
            <v/>
          </cell>
          <cell r="D130" t="str">
            <v/>
          </cell>
          <cell r="I130" t="str">
            <v/>
          </cell>
          <cell r="N130" t="str">
            <v/>
          </cell>
          <cell r="S130" t="str">
            <v/>
          </cell>
          <cell r="X130" t="str">
            <v/>
          </cell>
          <cell r="AC130" t="str">
            <v/>
          </cell>
          <cell r="AH130" t="str">
            <v/>
          </cell>
          <cell r="AM130" t="str">
            <v/>
          </cell>
          <cell r="AR130" t="str">
            <v/>
          </cell>
        </row>
        <row r="131">
          <cell r="B131" t="str">
            <v/>
          </cell>
          <cell r="C131" t="str">
            <v/>
          </cell>
          <cell r="D131" t="str">
            <v/>
          </cell>
          <cell r="I131" t="str">
            <v/>
          </cell>
          <cell r="N131" t="str">
            <v/>
          </cell>
          <cell r="S131" t="str">
            <v/>
          </cell>
          <cell r="X131" t="str">
            <v/>
          </cell>
          <cell r="AC131" t="str">
            <v/>
          </cell>
          <cell r="AH131" t="str">
            <v/>
          </cell>
          <cell r="AM131" t="str">
            <v/>
          </cell>
          <cell r="AR131" t="str">
            <v/>
          </cell>
        </row>
        <row r="132">
          <cell r="B132" t="str">
            <v/>
          </cell>
          <cell r="C132" t="str">
            <v/>
          </cell>
          <cell r="D132" t="str">
            <v/>
          </cell>
          <cell r="I132" t="str">
            <v/>
          </cell>
          <cell r="N132" t="str">
            <v/>
          </cell>
          <cell r="S132" t="str">
            <v/>
          </cell>
          <cell r="X132" t="str">
            <v/>
          </cell>
          <cell r="AC132" t="str">
            <v/>
          </cell>
          <cell r="AH132" t="str">
            <v/>
          </cell>
          <cell r="AM132" t="str">
            <v/>
          </cell>
          <cell r="AR132" t="str">
            <v/>
          </cell>
        </row>
        <row r="133">
          <cell r="B133" t="str">
            <v/>
          </cell>
          <cell r="C133" t="str">
            <v/>
          </cell>
          <cell r="D133" t="str">
            <v/>
          </cell>
          <cell r="I133" t="str">
            <v/>
          </cell>
          <cell r="N133" t="str">
            <v/>
          </cell>
          <cell r="S133" t="str">
            <v/>
          </cell>
          <cell r="X133" t="str">
            <v/>
          </cell>
          <cell r="AC133" t="str">
            <v/>
          </cell>
          <cell r="AH133" t="str">
            <v/>
          </cell>
          <cell r="AM133" t="str">
            <v/>
          </cell>
          <cell r="AR133" t="str">
            <v/>
          </cell>
        </row>
        <row r="134">
          <cell r="B134" t="str">
            <v/>
          </cell>
          <cell r="C134" t="str">
            <v/>
          </cell>
          <cell r="D134" t="str">
            <v/>
          </cell>
          <cell r="I134" t="str">
            <v/>
          </cell>
          <cell r="N134" t="str">
            <v/>
          </cell>
          <cell r="S134" t="str">
            <v/>
          </cell>
          <cell r="X134" t="str">
            <v/>
          </cell>
          <cell r="AC134" t="str">
            <v/>
          </cell>
          <cell r="AH134" t="str">
            <v/>
          </cell>
          <cell r="AM134" t="str">
            <v/>
          </cell>
          <cell r="AR134" t="str">
            <v/>
          </cell>
        </row>
        <row r="135">
          <cell r="B135" t="str">
            <v/>
          </cell>
          <cell r="C135" t="str">
            <v/>
          </cell>
          <cell r="D135" t="str">
            <v/>
          </cell>
          <cell r="I135" t="str">
            <v/>
          </cell>
          <cell r="N135" t="str">
            <v/>
          </cell>
          <cell r="S135" t="str">
            <v/>
          </cell>
          <cell r="X135" t="str">
            <v/>
          </cell>
          <cell r="AC135" t="str">
            <v/>
          </cell>
          <cell r="AH135" t="str">
            <v/>
          </cell>
          <cell r="AM135" t="str">
            <v/>
          </cell>
          <cell r="AR135" t="str">
            <v/>
          </cell>
        </row>
        <row r="136">
          <cell r="B136" t="str">
            <v/>
          </cell>
          <cell r="C136" t="str">
            <v/>
          </cell>
          <cell r="D136" t="str">
            <v/>
          </cell>
          <cell r="I136" t="str">
            <v/>
          </cell>
          <cell r="N136" t="str">
            <v/>
          </cell>
          <cell r="S136" t="str">
            <v/>
          </cell>
          <cell r="X136" t="str">
            <v/>
          </cell>
          <cell r="AC136" t="str">
            <v/>
          </cell>
          <cell r="AH136" t="str">
            <v/>
          </cell>
          <cell r="AM136" t="str">
            <v/>
          </cell>
          <cell r="AR136" t="str">
            <v/>
          </cell>
        </row>
        <row r="137">
          <cell r="B137" t="str">
            <v/>
          </cell>
          <cell r="C137" t="str">
            <v/>
          </cell>
          <cell r="D137" t="str">
            <v/>
          </cell>
          <cell r="I137" t="str">
            <v/>
          </cell>
          <cell r="N137" t="str">
            <v/>
          </cell>
          <cell r="S137" t="str">
            <v/>
          </cell>
          <cell r="X137" t="str">
            <v/>
          </cell>
          <cell r="AC137" t="str">
            <v/>
          </cell>
          <cell r="AH137" t="str">
            <v/>
          </cell>
          <cell r="AM137" t="str">
            <v/>
          </cell>
          <cell r="AR137" t="str">
            <v/>
          </cell>
        </row>
        <row r="138">
          <cell r="B138" t="str">
            <v/>
          </cell>
          <cell r="C138" t="str">
            <v/>
          </cell>
          <cell r="D138" t="str">
            <v/>
          </cell>
          <cell r="I138" t="str">
            <v/>
          </cell>
          <cell r="N138" t="str">
            <v/>
          </cell>
          <cell r="S138" t="str">
            <v/>
          </cell>
          <cell r="X138" t="str">
            <v/>
          </cell>
          <cell r="AC138" t="str">
            <v/>
          </cell>
          <cell r="AH138" t="str">
            <v/>
          </cell>
          <cell r="AM138" t="str">
            <v/>
          </cell>
          <cell r="AR138" t="str">
            <v/>
          </cell>
        </row>
        <row r="139">
          <cell r="B139" t="str">
            <v/>
          </cell>
          <cell r="C139" t="str">
            <v/>
          </cell>
          <cell r="D139" t="str">
            <v/>
          </cell>
          <cell r="I139" t="str">
            <v/>
          </cell>
          <cell r="N139" t="str">
            <v/>
          </cell>
          <cell r="S139" t="str">
            <v/>
          </cell>
          <cell r="X139" t="str">
            <v/>
          </cell>
          <cell r="AC139" t="str">
            <v/>
          </cell>
          <cell r="AH139" t="str">
            <v/>
          </cell>
          <cell r="AM139" t="str">
            <v/>
          </cell>
          <cell r="AR139" t="str">
            <v/>
          </cell>
        </row>
        <row r="140">
          <cell r="B140" t="str">
            <v/>
          </cell>
          <cell r="C140" t="str">
            <v/>
          </cell>
          <cell r="D140" t="str">
            <v/>
          </cell>
          <cell r="I140" t="str">
            <v/>
          </cell>
          <cell r="N140" t="str">
            <v/>
          </cell>
          <cell r="S140" t="str">
            <v/>
          </cell>
          <cell r="X140" t="str">
            <v/>
          </cell>
          <cell r="AC140" t="str">
            <v/>
          </cell>
          <cell r="AH140" t="str">
            <v/>
          </cell>
          <cell r="AM140" t="str">
            <v/>
          </cell>
          <cell r="AR140" t="str">
            <v/>
          </cell>
        </row>
        <row r="141">
          <cell r="B141" t="str">
            <v/>
          </cell>
          <cell r="C141" t="str">
            <v/>
          </cell>
          <cell r="D141" t="str">
            <v/>
          </cell>
          <cell r="I141" t="str">
            <v/>
          </cell>
          <cell r="N141" t="str">
            <v/>
          </cell>
          <cell r="S141" t="str">
            <v/>
          </cell>
          <cell r="X141" t="str">
            <v/>
          </cell>
          <cell r="AC141" t="str">
            <v/>
          </cell>
          <cell r="AH141" t="str">
            <v/>
          </cell>
          <cell r="AM141" t="str">
            <v/>
          </cell>
          <cell r="AR141" t="str">
            <v/>
          </cell>
        </row>
        <row r="142">
          <cell r="B142" t="str">
            <v/>
          </cell>
          <cell r="C142" t="str">
            <v/>
          </cell>
          <cell r="D142" t="str">
            <v/>
          </cell>
          <cell r="I142" t="str">
            <v/>
          </cell>
          <cell r="N142" t="str">
            <v/>
          </cell>
          <cell r="S142" t="str">
            <v/>
          </cell>
          <cell r="X142" t="str">
            <v/>
          </cell>
          <cell r="AC142" t="str">
            <v/>
          </cell>
          <cell r="AH142" t="str">
            <v/>
          </cell>
          <cell r="AM142" t="str">
            <v/>
          </cell>
          <cell r="AR142" t="str">
            <v/>
          </cell>
        </row>
        <row r="143">
          <cell r="B143" t="str">
            <v/>
          </cell>
          <cell r="C143" t="str">
            <v/>
          </cell>
          <cell r="D143" t="str">
            <v/>
          </cell>
          <cell r="I143" t="str">
            <v/>
          </cell>
          <cell r="N143" t="str">
            <v/>
          </cell>
          <cell r="S143" t="str">
            <v/>
          </cell>
          <cell r="X143" t="str">
            <v/>
          </cell>
          <cell r="AC143" t="str">
            <v/>
          </cell>
          <cell r="AH143" t="str">
            <v/>
          </cell>
          <cell r="AM143" t="str">
            <v/>
          </cell>
          <cell r="AR143" t="str">
            <v/>
          </cell>
        </row>
      </sheetData>
      <sheetData sheetId="9" refreshError="1"/>
      <sheetData sheetId="10" refreshError="1">
        <row r="6">
          <cell r="B6">
            <v>1</v>
          </cell>
          <cell r="C6" t="str">
            <v>Dr. H. IDRUS ALWI, M.Pd</v>
          </cell>
          <cell r="D6">
            <v>2</v>
          </cell>
          <cell r="E6" t="str">
            <v xml:space="preserve">Keanggotaan dalam organisasi profesi sebagai ketua aktif Pokjawas Provinsi DKI Jakarta </v>
          </cell>
          <cell r="F6">
            <v>1</v>
          </cell>
          <cell r="G6">
            <v>1</v>
          </cell>
          <cell r="H6" t="str">
            <v>Laporan</v>
          </cell>
          <cell r="K6" t="str">
            <v/>
          </cell>
          <cell r="L6" t="str">
            <v/>
          </cell>
          <cell r="U6">
            <v>0</v>
          </cell>
        </row>
        <row r="7">
          <cell r="B7">
            <v>2</v>
          </cell>
          <cell r="C7" t="str">
            <v>Drs. H. SUJANGI</v>
          </cell>
          <cell r="D7">
            <v>2</v>
          </cell>
          <cell r="E7" t="str">
            <v>Keanggotaan dalam organisasi profesi sebagai ketua aktif Pokjawas Kota Jakarta Timur</v>
          </cell>
          <cell r="F7">
            <v>0.75</v>
          </cell>
          <cell r="G7">
            <v>1</v>
          </cell>
          <cell r="H7" t="str">
            <v>Laporan</v>
          </cell>
          <cell r="K7" t="str">
            <v/>
          </cell>
          <cell r="L7" t="str">
            <v/>
          </cell>
          <cell r="U7">
            <v>0</v>
          </cell>
        </row>
        <row r="8">
          <cell r="B8">
            <v>3</v>
          </cell>
          <cell r="C8" t="str">
            <v>Drs. M. SALEH</v>
          </cell>
          <cell r="D8">
            <v>2</v>
          </cell>
          <cell r="E8" t="str">
            <v xml:space="preserve">Keanggotaan dalam organisasi profesi sebagai anggota aktif Pokjawas Kota </v>
          </cell>
          <cell r="F8">
            <v>0.75</v>
          </cell>
          <cell r="G8">
            <v>1</v>
          </cell>
          <cell r="H8" t="str">
            <v>Laporan</v>
          </cell>
          <cell r="K8" t="str">
            <v/>
          </cell>
          <cell r="L8" t="str">
            <v/>
          </cell>
          <cell r="U8">
            <v>0</v>
          </cell>
        </row>
        <row r="9">
          <cell r="B9">
            <v>4</v>
          </cell>
          <cell r="C9" t="str">
            <v>SITI NURBAITI, S.Ag, M.Pd.I</v>
          </cell>
          <cell r="D9">
            <v>2</v>
          </cell>
          <cell r="E9" t="str">
            <v xml:space="preserve">Keanggotaan dalam organisasi profesi sebagai anggota aktif Pokjawas Kota </v>
          </cell>
          <cell r="F9">
            <v>0.75</v>
          </cell>
          <cell r="G9">
            <v>1</v>
          </cell>
          <cell r="H9" t="str">
            <v>Laporan</v>
          </cell>
          <cell r="K9" t="str">
            <v/>
          </cell>
          <cell r="L9" t="str">
            <v/>
          </cell>
          <cell r="U9">
            <v>0</v>
          </cell>
        </row>
        <row r="10">
          <cell r="B10">
            <v>5</v>
          </cell>
          <cell r="C10" t="str">
            <v>Drs. A. AMIN MUSTOFA, M.Pd</v>
          </cell>
          <cell r="D10">
            <v>2</v>
          </cell>
          <cell r="E10" t="str">
            <v xml:space="preserve">Keanggotaan dalam organisasi profesi sebagai anggota aktif Pokjawas Kota </v>
          </cell>
          <cell r="F10">
            <v>0.75</v>
          </cell>
          <cell r="G10">
            <v>1</v>
          </cell>
          <cell r="H10" t="str">
            <v>Laporan</v>
          </cell>
          <cell r="K10" t="str">
            <v/>
          </cell>
          <cell r="L10" t="str">
            <v/>
          </cell>
          <cell r="U10">
            <v>0</v>
          </cell>
        </row>
        <row r="11">
          <cell r="B11">
            <v>6</v>
          </cell>
          <cell r="C11" t="str">
            <v>Drs. AKHMAD SUGANDA, M.Pd</v>
          </cell>
          <cell r="D11">
            <v>2</v>
          </cell>
          <cell r="E11" t="str">
            <v xml:space="preserve">Keanggotaan dalam organisasi profesi sebagai anggota aktif Pokjawas Kota </v>
          </cell>
          <cell r="F11">
            <v>0.75</v>
          </cell>
          <cell r="G11">
            <v>1</v>
          </cell>
          <cell r="H11" t="str">
            <v>Laporan</v>
          </cell>
          <cell r="K11" t="str">
            <v/>
          </cell>
          <cell r="L11" t="str">
            <v/>
          </cell>
          <cell r="U11">
            <v>0</v>
          </cell>
        </row>
        <row r="12">
          <cell r="B12">
            <v>7</v>
          </cell>
          <cell r="C12" t="str">
            <v>Dr. Hj. KUN SRI WARDHANI, M.Pd</v>
          </cell>
          <cell r="D12">
            <v>2</v>
          </cell>
          <cell r="E12" t="str">
            <v xml:space="preserve">Keanggotaan dalam organisasi profesi sebagai anggota aktif Pokjawas Kota </v>
          </cell>
          <cell r="F12">
            <v>0.75</v>
          </cell>
          <cell r="G12">
            <v>1</v>
          </cell>
          <cell r="H12" t="str">
            <v>Laporan</v>
          </cell>
          <cell r="K12" t="str">
            <v/>
          </cell>
          <cell r="L12" t="str">
            <v/>
          </cell>
          <cell r="U12">
            <v>0</v>
          </cell>
        </row>
        <row r="13">
          <cell r="B13">
            <v>8</v>
          </cell>
          <cell r="C13" t="str">
            <v>ABDUL MANAP, M.Pd</v>
          </cell>
          <cell r="D13">
            <v>2</v>
          </cell>
          <cell r="E13" t="str">
            <v xml:space="preserve">Keanggotaan dalam organisasi profesi sebagai anggota aktif Pokjawas Kota </v>
          </cell>
          <cell r="F13">
            <v>0.75</v>
          </cell>
          <cell r="G13">
            <v>1</v>
          </cell>
          <cell r="H13" t="str">
            <v>Laporan</v>
          </cell>
          <cell r="K13" t="str">
            <v/>
          </cell>
          <cell r="L13" t="str">
            <v/>
          </cell>
          <cell r="U13">
            <v>0</v>
          </cell>
        </row>
        <row r="14">
          <cell r="B14">
            <v>9</v>
          </cell>
          <cell r="C14" t="str">
            <v>ABDUL WAHAB, S.Pd</v>
          </cell>
          <cell r="D14">
            <v>2</v>
          </cell>
          <cell r="E14" t="str">
            <v xml:space="preserve">Keanggotaan dalam organisasi profesi sebagai anggota aktif Pokjawas Kota </v>
          </cell>
          <cell r="F14">
            <v>0.75</v>
          </cell>
          <cell r="G14">
            <v>1</v>
          </cell>
          <cell r="H14" t="str">
            <v>Laporan</v>
          </cell>
          <cell r="K14" t="str">
            <v/>
          </cell>
          <cell r="L14" t="str">
            <v/>
          </cell>
          <cell r="U14">
            <v>0</v>
          </cell>
        </row>
        <row r="15">
          <cell r="B15">
            <v>10</v>
          </cell>
          <cell r="C15" t="str">
            <v>A. TAUFIK, S.Ag, MM</v>
          </cell>
          <cell r="D15">
            <v>2</v>
          </cell>
          <cell r="E15" t="str">
            <v xml:space="preserve">Keanggotaan dalam organisasi profesi sebagai anggota aktif Pokjawas Kota </v>
          </cell>
          <cell r="F15">
            <v>0.75</v>
          </cell>
          <cell r="G15">
            <v>1</v>
          </cell>
          <cell r="H15" t="str">
            <v>Laporan</v>
          </cell>
          <cell r="K15" t="str">
            <v/>
          </cell>
          <cell r="L15" t="str">
            <v/>
          </cell>
          <cell r="U15">
            <v>0</v>
          </cell>
        </row>
        <row r="16">
          <cell r="B16">
            <v>11</v>
          </cell>
          <cell r="C16" t="str">
            <v>Drs. HADI WIJAYA</v>
          </cell>
          <cell r="D16">
            <v>1</v>
          </cell>
          <cell r="E16" t="str">
            <v xml:space="preserve">Keanggotaan dalam organisasi profesi sebagai ketua aktif Pokjawas Kota </v>
          </cell>
          <cell r="F16">
            <v>1</v>
          </cell>
          <cell r="G16">
            <v>1</v>
          </cell>
          <cell r="H16" t="str">
            <v>Laporan</v>
          </cell>
          <cell r="K16" t="str">
            <v/>
          </cell>
          <cell r="L16" t="str">
            <v/>
          </cell>
          <cell r="U16">
            <v>0</v>
          </cell>
        </row>
        <row r="17">
          <cell r="B17">
            <v>12</v>
          </cell>
          <cell r="C17" t="str">
            <v>ARTATI ISMAILIA, SE, M.Ak</v>
          </cell>
          <cell r="D17">
            <v>2</v>
          </cell>
          <cell r="E17" t="str">
            <v xml:space="preserve">Keanggotaan dalam organisasi profesi sebagai anggota aktif Pokjawas Kota </v>
          </cell>
          <cell r="F17">
            <v>0.75</v>
          </cell>
          <cell r="G17">
            <v>1</v>
          </cell>
          <cell r="H17" t="str">
            <v>Laporan</v>
          </cell>
          <cell r="K17" t="str">
            <v/>
          </cell>
          <cell r="L17" t="str">
            <v/>
          </cell>
          <cell r="U17">
            <v>0</v>
          </cell>
        </row>
        <row r="18">
          <cell r="B18">
            <v>13</v>
          </cell>
          <cell r="C18" t="str">
            <v>Drs. AHMAD KHOTIB, M.Pd</v>
          </cell>
          <cell r="D18">
            <v>2</v>
          </cell>
          <cell r="E18" t="str">
            <v xml:space="preserve">Keanggotaan dalam organisasi profesi sebagai anggota aktif Pokjawas Kota </v>
          </cell>
          <cell r="F18">
            <v>0.75</v>
          </cell>
          <cell r="G18">
            <v>1</v>
          </cell>
          <cell r="H18" t="str">
            <v>Laporan</v>
          </cell>
          <cell r="K18" t="str">
            <v/>
          </cell>
          <cell r="L18" t="str">
            <v/>
          </cell>
          <cell r="U18">
            <v>0</v>
          </cell>
        </row>
        <row r="19">
          <cell r="B19">
            <v>14</v>
          </cell>
          <cell r="C19" t="str">
            <v>SUTAN ASWIN, S.Pd</v>
          </cell>
          <cell r="D19">
            <v>2</v>
          </cell>
          <cell r="E19" t="str">
            <v xml:space="preserve">Keanggotaan dalam organisasi profesi sebagai anggota aktif Pokjawas Kota </v>
          </cell>
          <cell r="F19">
            <v>0.75</v>
          </cell>
          <cell r="G19">
            <v>1</v>
          </cell>
          <cell r="H19" t="str">
            <v>Laporan</v>
          </cell>
          <cell r="K19" t="str">
            <v/>
          </cell>
          <cell r="L19" t="str">
            <v/>
          </cell>
          <cell r="U19">
            <v>0</v>
          </cell>
        </row>
        <row r="20">
          <cell r="B20">
            <v>15</v>
          </cell>
          <cell r="C20" t="str">
            <v>Dra. IDA SAIDAH, M.MPd</v>
          </cell>
          <cell r="D20">
            <v>2</v>
          </cell>
          <cell r="E20" t="str">
            <v xml:space="preserve">Keanggotaan dalam organisasi profesi sebagai anggota aktif Pokjawas Kota </v>
          </cell>
          <cell r="F20">
            <v>0.75</v>
          </cell>
          <cell r="G20">
            <v>1</v>
          </cell>
          <cell r="H20" t="str">
            <v>Laporan</v>
          </cell>
          <cell r="K20" t="str">
            <v/>
          </cell>
          <cell r="L20" t="str">
            <v/>
          </cell>
          <cell r="U20">
            <v>0</v>
          </cell>
        </row>
        <row r="21">
          <cell r="B21">
            <v>16</v>
          </cell>
          <cell r="C21" t="str">
            <v>Dra. Hj. JAMILAH, M.Pd</v>
          </cell>
          <cell r="D21">
            <v>2</v>
          </cell>
          <cell r="E21" t="str">
            <v xml:space="preserve">Keanggotaan dalam organisasi profesi sebagai anggota aktif Pokjawas Kota </v>
          </cell>
          <cell r="F21">
            <v>0.75</v>
          </cell>
          <cell r="G21">
            <v>1</v>
          </cell>
          <cell r="H21" t="str">
            <v>Laporan</v>
          </cell>
          <cell r="K21" t="str">
            <v/>
          </cell>
          <cell r="L21" t="str">
            <v/>
          </cell>
          <cell r="U21">
            <v>0</v>
          </cell>
        </row>
        <row r="22">
          <cell r="B22">
            <v>17</v>
          </cell>
          <cell r="C22" t="str">
            <v>Dra. Hj. ZURNI ASNIDA</v>
          </cell>
          <cell r="D22">
            <v>2</v>
          </cell>
          <cell r="E22" t="str">
            <v xml:space="preserve">Keanggotaan dalam organisasi profesi sebagai anggota aktif Pokjawas Kota </v>
          </cell>
          <cell r="F22">
            <v>0.75</v>
          </cell>
          <cell r="G22">
            <v>1</v>
          </cell>
          <cell r="H22" t="str">
            <v>Laporan</v>
          </cell>
          <cell r="K22" t="str">
            <v/>
          </cell>
          <cell r="L22" t="str">
            <v/>
          </cell>
          <cell r="U22">
            <v>0</v>
          </cell>
        </row>
        <row r="23">
          <cell r="B23">
            <v>18</v>
          </cell>
          <cell r="C23" t="str">
            <v>TANTI ASTRIATIE Z, S.Pd, M.Pd</v>
          </cell>
          <cell r="D23">
            <v>2</v>
          </cell>
          <cell r="E23" t="str">
            <v xml:space="preserve">Keanggotaan dalam organisasi profesi sebagai anggota aktif Pokjawas Kota </v>
          </cell>
          <cell r="F23">
            <v>0.75</v>
          </cell>
          <cell r="G23">
            <v>1</v>
          </cell>
          <cell r="H23" t="str">
            <v>Laporan</v>
          </cell>
          <cell r="K23" t="str">
            <v/>
          </cell>
          <cell r="L23" t="str">
            <v/>
          </cell>
          <cell r="U23">
            <v>0</v>
          </cell>
        </row>
        <row r="24">
          <cell r="B24">
            <v>19</v>
          </cell>
          <cell r="C24" t="str">
            <v>KUSWIYATI, S.Pd, M.Pd</v>
          </cell>
          <cell r="D24">
            <v>2</v>
          </cell>
          <cell r="E24" t="str">
            <v xml:space="preserve">Keanggotaan dalam organisasi profesi sebagai anggota aktif Pokjawas Kota </v>
          </cell>
          <cell r="F24">
            <v>0.75</v>
          </cell>
          <cell r="G24">
            <v>1</v>
          </cell>
          <cell r="H24" t="str">
            <v>Laporan</v>
          </cell>
          <cell r="K24" t="str">
            <v/>
          </cell>
          <cell r="L24" t="str">
            <v/>
          </cell>
          <cell r="U24">
            <v>0</v>
          </cell>
        </row>
        <row r="25">
          <cell r="B25">
            <v>20</v>
          </cell>
          <cell r="C25" t="str">
            <v>RUSDAH, S.Ag</v>
          </cell>
          <cell r="D25">
            <v>2</v>
          </cell>
          <cell r="E25" t="str">
            <v xml:space="preserve">Keanggotaan dalam organisasi profesi sebagai anggota aktif Pokjawas Kota </v>
          </cell>
          <cell r="F25">
            <v>0.75</v>
          </cell>
          <cell r="G25">
            <v>1</v>
          </cell>
          <cell r="H25" t="str">
            <v>Laporan</v>
          </cell>
          <cell r="K25" t="str">
            <v/>
          </cell>
          <cell r="L25" t="str">
            <v/>
          </cell>
          <cell r="U25">
            <v>0</v>
          </cell>
        </row>
        <row r="26">
          <cell r="B26">
            <v>21</v>
          </cell>
          <cell r="C26" t="str">
            <v>WAWAN KURNIAWAN, S.Pd, M.Si</v>
          </cell>
          <cell r="D26">
            <v>2</v>
          </cell>
          <cell r="E26" t="str">
            <v xml:space="preserve">Keanggotaan dalam organisasi profesi sebagai anggota aktif Pokjawas Kota </v>
          </cell>
          <cell r="F26">
            <v>0.75</v>
          </cell>
          <cell r="G26">
            <v>1</v>
          </cell>
          <cell r="H26" t="str">
            <v>Laporan</v>
          </cell>
          <cell r="K26" t="str">
            <v/>
          </cell>
          <cell r="L26" t="str">
            <v/>
          </cell>
          <cell r="U26">
            <v>0</v>
          </cell>
        </row>
        <row r="27">
          <cell r="B27">
            <v>22</v>
          </cell>
          <cell r="C27" t="str">
            <v>MUHAMMAD YUNUS, S.Ag, M.Pd</v>
          </cell>
          <cell r="D27">
            <v>2</v>
          </cell>
          <cell r="E27" t="str">
            <v xml:space="preserve">Keanggotaan dalam organisasi profesi sebagai anggota aktif Pokjawas Kota </v>
          </cell>
          <cell r="F27">
            <v>0.75</v>
          </cell>
          <cell r="G27">
            <v>1</v>
          </cell>
          <cell r="H27" t="str">
            <v>Laporan</v>
          </cell>
          <cell r="K27" t="str">
            <v/>
          </cell>
          <cell r="L27" t="str">
            <v/>
          </cell>
          <cell r="U27">
            <v>0</v>
          </cell>
        </row>
        <row r="28">
          <cell r="B28">
            <v>23</v>
          </cell>
          <cell r="C28" t="str">
            <v>Drs. SASTRO JAGO HARTONO</v>
          </cell>
          <cell r="D28">
            <v>2</v>
          </cell>
          <cell r="E28" t="str">
            <v xml:space="preserve">Keanggotaan dalam organisasi profesi sebagai anggota aktif Pokjawas Kota </v>
          </cell>
          <cell r="F28">
            <v>0.75</v>
          </cell>
          <cell r="G28">
            <v>1</v>
          </cell>
          <cell r="H28" t="str">
            <v>Laporan</v>
          </cell>
          <cell r="K28" t="str">
            <v/>
          </cell>
          <cell r="L28" t="str">
            <v/>
          </cell>
          <cell r="U28">
            <v>0</v>
          </cell>
        </row>
        <row r="29">
          <cell r="B29">
            <v>24</v>
          </cell>
          <cell r="C29" t="str">
            <v>RUSTIATI, S.Pd, M.Pd</v>
          </cell>
          <cell r="D29">
            <v>2</v>
          </cell>
          <cell r="E29" t="str">
            <v xml:space="preserve">Keanggotaan dalam organisasi profesi sebagai anggota aktif Pokjawas Kota </v>
          </cell>
          <cell r="F29">
            <v>0.75</v>
          </cell>
          <cell r="G29">
            <v>1</v>
          </cell>
          <cell r="H29" t="str">
            <v>Laporan</v>
          </cell>
          <cell r="K29" t="str">
            <v/>
          </cell>
          <cell r="L29" t="str">
            <v/>
          </cell>
          <cell r="U29">
            <v>0</v>
          </cell>
        </row>
        <row r="30">
          <cell r="B30">
            <v>25</v>
          </cell>
          <cell r="C30" t="str">
            <v>SARJONO S.Pd</v>
          </cell>
          <cell r="D30">
            <v>2</v>
          </cell>
          <cell r="E30" t="str">
            <v xml:space="preserve">Keanggotaan dalam organisasi profesi sebagai anggota aktif Pokjawas Kota </v>
          </cell>
          <cell r="F30">
            <v>0.75</v>
          </cell>
          <cell r="G30">
            <v>1</v>
          </cell>
          <cell r="H30" t="str">
            <v>Laporan</v>
          </cell>
          <cell r="K30" t="str">
            <v/>
          </cell>
          <cell r="L30" t="str">
            <v/>
          </cell>
          <cell r="U30">
            <v>0</v>
          </cell>
        </row>
        <row r="31">
          <cell r="B31">
            <v>26</v>
          </cell>
          <cell r="C31" t="str">
            <v>Drs. AGUS UTOYO, MM</v>
          </cell>
          <cell r="D31">
            <v>2</v>
          </cell>
          <cell r="E31" t="str">
            <v xml:space="preserve">Keanggotaan dalam organisasi profesi sebagai anggota aktif Pokjawas Kota </v>
          </cell>
          <cell r="F31">
            <v>0.75</v>
          </cell>
          <cell r="G31">
            <v>1</v>
          </cell>
          <cell r="H31" t="str">
            <v>Laporan</v>
          </cell>
          <cell r="K31" t="str">
            <v/>
          </cell>
          <cell r="L31" t="str">
            <v/>
          </cell>
          <cell r="U31">
            <v>0</v>
          </cell>
        </row>
        <row r="32">
          <cell r="B32">
            <v>27</v>
          </cell>
          <cell r="C32" t="str">
            <v>MARWI, S.Pd.I</v>
          </cell>
          <cell r="D32">
            <v>2</v>
          </cell>
          <cell r="E32" t="str">
            <v xml:space="preserve">Keanggotaan dalam organisasi profesi sebagai anggota aktif Pokjawas Kota </v>
          </cell>
          <cell r="F32">
            <v>0.75</v>
          </cell>
          <cell r="G32">
            <v>1</v>
          </cell>
          <cell r="H32" t="str">
            <v>Laporan</v>
          </cell>
          <cell r="K32" t="str">
            <v/>
          </cell>
          <cell r="L32" t="str">
            <v/>
          </cell>
          <cell r="U32">
            <v>0</v>
          </cell>
        </row>
        <row r="33">
          <cell r="B33">
            <v>28</v>
          </cell>
          <cell r="C33" t="str">
            <v>SUHARTONO, S.Pd</v>
          </cell>
          <cell r="D33">
            <v>2</v>
          </cell>
          <cell r="E33" t="str">
            <v xml:space="preserve">Keanggotaan dalam organisasi profesi sebagai anggota aktif Pokjawas Kota </v>
          </cell>
          <cell r="F33">
            <v>0.75</v>
          </cell>
          <cell r="G33">
            <v>1</v>
          </cell>
          <cell r="H33" t="str">
            <v>Laporan</v>
          </cell>
          <cell r="K33" t="str">
            <v/>
          </cell>
          <cell r="L33" t="str">
            <v/>
          </cell>
          <cell r="U33">
            <v>0</v>
          </cell>
        </row>
        <row r="34">
          <cell r="B34">
            <v>29</v>
          </cell>
          <cell r="C34" t="str">
            <v>EUIS KURAISIN, M.Pd</v>
          </cell>
          <cell r="D34">
            <v>2</v>
          </cell>
          <cell r="E34" t="str">
            <v xml:space="preserve">Keanggotaan dalam organisasi profesi sebagai anggota aktif Pokjawas Kota </v>
          </cell>
          <cell r="F34">
            <v>0.75</v>
          </cell>
          <cell r="G34">
            <v>1</v>
          </cell>
          <cell r="H34" t="str">
            <v>Laporan</v>
          </cell>
          <cell r="K34" t="str">
            <v/>
          </cell>
          <cell r="L34" t="str">
            <v/>
          </cell>
          <cell r="U34">
            <v>0</v>
          </cell>
        </row>
        <row r="35">
          <cell r="B35">
            <v>30</v>
          </cell>
          <cell r="C35" t="str">
            <v>Dra. Hj. NUROZIAH</v>
          </cell>
          <cell r="D35">
            <v>2</v>
          </cell>
          <cell r="E35" t="str">
            <v xml:space="preserve">Keanggotaan dalam organisasi profesi sebagai anggota aktif Pokjawas Kota </v>
          </cell>
          <cell r="F35">
            <v>0.75</v>
          </cell>
          <cell r="G35">
            <v>1</v>
          </cell>
          <cell r="H35" t="str">
            <v>Laporan</v>
          </cell>
          <cell r="K35" t="str">
            <v/>
          </cell>
          <cell r="L35" t="str">
            <v/>
          </cell>
          <cell r="U35">
            <v>0</v>
          </cell>
        </row>
        <row r="36">
          <cell r="B36" t="str">
            <v/>
          </cell>
          <cell r="C36" t="str">
            <v/>
          </cell>
          <cell r="D36">
            <v>2</v>
          </cell>
          <cell r="E36" t="str">
            <v xml:space="preserve">Keanggotaan dalam organisasi profesi sebagai anggota aktif Pokjawas Kota </v>
          </cell>
          <cell r="F36">
            <v>0.75</v>
          </cell>
          <cell r="G36">
            <v>1</v>
          </cell>
          <cell r="H36" t="str">
            <v>Laporan</v>
          </cell>
          <cell r="L36" t="str">
            <v/>
          </cell>
          <cell r="U36" t="str">
            <v/>
          </cell>
        </row>
        <row r="37">
          <cell r="B37" t="str">
            <v/>
          </cell>
          <cell r="C37" t="str">
            <v/>
          </cell>
          <cell r="E37" t="str">
            <v/>
          </cell>
          <cell r="F37" t="str">
            <v/>
          </cell>
          <cell r="G37">
            <v>1</v>
          </cell>
          <cell r="H37" t="str">
            <v/>
          </cell>
          <cell r="L37" t="str">
            <v/>
          </cell>
          <cell r="U37" t="str">
            <v/>
          </cell>
        </row>
        <row r="38">
          <cell r="B38" t="str">
            <v/>
          </cell>
          <cell r="C38" t="str">
            <v/>
          </cell>
          <cell r="E38" t="str">
            <v/>
          </cell>
          <cell r="F38" t="str">
            <v/>
          </cell>
          <cell r="G38">
            <v>1</v>
          </cell>
          <cell r="H38" t="str">
            <v/>
          </cell>
          <cell r="L38" t="str">
            <v/>
          </cell>
          <cell r="U38" t="str">
            <v/>
          </cell>
        </row>
        <row r="39">
          <cell r="B39" t="str">
            <v/>
          </cell>
          <cell r="C39" t="str">
            <v/>
          </cell>
          <cell r="E39" t="str">
            <v/>
          </cell>
          <cell r="F39" t="str">
            <v/>
          </cell>
          <cell r="G39">
            <v>1</v>
          </cell>
          <cell r="H39" t="str">
            <v/>
          </cell>
          <cell r="L39" t="str">
            <v/>
          </cell>
          <cell r="U39" t="str">
            <v/>
          </cell>
        </row>
        <row r="40">
          <cell r="B40" t="str">
            <v/>
          </cell>
          <cell r="C40" t="str">
            <v/>
          </cell>
          <cell r="E40" t="str">
            <v/>
          </cell>
          <cell r="F40" t="str">
            <v/>
          </cell>
          <cell r="G40">
            <v>1</v>
          </cell>
          <cell r="H40" t="str">
            <v/>
          </cell>
          <cell r="L40" t="str">
            <v/>
          </cell>
          <cell r="U40" t="str">
            <v/>
          </cell>
        </row>
        <row r="41">
          <cell r="B41" t="str">
            <v/>
          </cell>
          <cell r="C41" t="str">
            <v/>
          </cell>
          <cell r="E41" t="str">
            <v/>
          </cell>
          <cell r="F41" t="str">
            <v/>
          </cell>
          <cell r="G41">
            <v>1</v>
          </cell>
          <cell r="H41" t="str">
            <v/>
          </cell>
          <cell r="L41" t="str">
            <v/>
          </cell>
          <cell r="U41" t="str">
            <v/>
          </cell>
        </row>
        <row r="42">
          <cell r="B42" t="str">
            <v/>
          </cell>
          <cell r="C42" t="str">
            <v/>
          </cell>
          <cell r="E42" t="str">
            <v/>
          </cell>
          <cell r="F42" t="str">
            <v/>
          </cell>
          <cell r="G42">
            <v>1</v>
          </cell>
          <cell r="H42" t="str">
            <v/>
          </cell>
          <cell r="L42" t="str">
            <v/>
          </cell>
          <cell r="U42" t="str">
            <v/>
          </cell>
        </row>
        <row r="43">
          <cell r="B43" t="str">
            <v/>
          </cell>
          <cell r="C43" t="str">
            <v/>
          </cell>
          <cell r="E43" t="str">
            <v/>
          </cell>
          <cell r="F43" t="str">
            <v/>
          </cell>
          <cell r="G43">
            <v>1</v>
          </cell>
          <cell r="H43" t="str">
            <v/>
          </cell>
          <cell r="L43" t="str">
            <v/>
          </cell>
          <cell r="U43" t="str">
            <v/>
          </cell>
        </row>
        <row r="44">
          <cell r="B44" t="str">
            <v/>
          </cell>
          <cell r="C44" t="str">
            <v/>
          </cell>
          <cell r="E44" t="str">
            <v/>
          </cell>
          <cell r="F44" t="str">
            <v/>
          </cell>
          <cell r="G44">
            <v>1</v>
          </cell>
          <cell r="H44" t="str">
            <v/>
          </cell>
          <cell r="L44" t="str">
            <v/>
          </cell>
          <cell r="U44" t="str">
            <v/>
          </cell>
        </row>
        <row r="45">
          <cell r="B45" t="str">
            <v/>
          </cell>
          <cell r="C45" t="str">
            <v/>
          </cell>
          <cell r="E45" t="str">
            <v/>
          </cell>
          <cell r="F45" t="str">
            <v/>
          </cell>
          <cell r="G45">
            <v>1</v>
          </cell>
          <cell r="H45" t="str">
            <v/>
          </cell>
          <cell r="L45" t="str">
            <v/>
          </cell>
          <cell r="U45" t="str">
            <v/>
          </cell>
        </row>
        <row r="46">
          <cell r="B46" t="str">
            <v/>
          </cell>
          <cell r="C46" t="str">
            <v/>
          </cell>
          <cell r="E46" t="str">
            <v/>
          </cell>
          <cell r="F46" t="str">
            <v/>
          </cell>
          <cell r="G46">
            <v>1</v>
          </cell>
          <cell r="H46" t="str">
            <v/>
          </cell>
          <cell r="L46" t="str">
            <v/>
          </cell>
          <cell r="U46" t="str">
            <v/>
          </cell>
        </row>
        <row r="47">
          <cell r="B47" t="str">
            <v/>
          </cell>
          <cell r="C47" t="str">
            <v/>
          </cell>
          <cell r="E47" t="str">
            <v/>
          </cell>
          <cell r="F47" t="str">
            <v/>
          </cell>
          <cell r="G47">
            <v>1</v>
          </cell>
          <cell r="H47" t="str">
            <v/>
          </cell>
          <cell r="L47" t="str">
            <v/>
          </cell>
          <cell r="U47" t="str">
            <v/>
          </cell>
        </row>
        <row r="48">
          <cell r="B48" t="str">
            <v/>
          </cell>
          <cell r="C48" t="str">
            <v/>
          </cell>
          <cell r="E48" t="str">
            <v/>
          </cell>
          <cell r="F48" t="str">
            <v/>
          </cell>
          <cell r="G48">
            <v>1</v>
          </cell>
          <cell r="H48" t="str">
            <v/>
          </cell>
          <cell r="L48" t="str">
            <v/>
          </cell>
          <cell r="U48" t="str">
            <v/>
          </cell>
        </row>
        <row r="49">
          <cell r="B49" t="str">
            <v/>
          </cell>
          <cell r="C49" t="str">
            <v/>
          </cell>
          <cell r="E49" t="str">
            <v/>
          </cell>
          <cell r="F49" t="str">
            <v/>
          </cell>
          <cell r="G49">
            <v>1</v>
          </cell>
          <cell r="H49" t="str">
            <v/>
          </cell>
          <cell r="L49" t="str">
            <v/>
          </cell>
          <cell r="U49" t="str">
            <v/>
          </cell>
        </row>
        <row r="50">
          <cell r="B50" t="str">
            <v/>
          </cell>
          <cell r="C50" t="str">
            <v/>
          </cell>
          <cell r="E50" t="str">
            <v/>
          </cell>
          <cell r="F50" t="str">
            <v/>
          </cell>
          <cell r="G50">
            <v>1</v>
          </cell>
          <cell r="H50" t="str">
            <v/>
          </cell>
          <cell r="L50" t="str">
            <v/>
          </cell>
          <cell r="U50" t="str">
            <v/>
          </cell>
        </row>
        <row r="51">
          <cell r="B51" t="str">
            <v/>
          </cell>
          <cell r="C51" t="str">
            <v/>
          </cell>
          <cell r="E51" t="str">
            <v/>
          </cell>
          <cell r="F51" t="str">
            <v/>
          </cell>
          <cell r="G51">
            <v>1</v>
          </cell>
          <cell r="H51" t="str">
            <v/>
          </cell>
          <cell r="L51" t="str">
            <v/>
          </cell>
          <cell r="U51" t="str">
            <v/>
          </cell>
        </row>
        <row r="52">
          <cell r="B52" t="str">
            <v/>
          </cell>
          <cell r="C52" t="str">
            <v/>
          </cell>
          <cell r="E52" t="str">
            <v/>
          </cell>
          <cell r="F52" t="str">
            <v/>
          </cell>
          <cell r="G52">
            <v>1</v>
          </cell>
          <cell r="H52" t="str">
            <v/>
          </cell>
          <cell r="L52" t="str">
            <v/>
          </cell>
          <cell r="U52" t="str">
            <v/>
          </cell>
        </row>
        <row r="53">
          <cell r="B53" t="str">
            <v/>
          </cell>
          <cell r="C53" t="str">
            <v/>
          </cell>
          <cell r="E53" t="str">
            <v/>
          </cell>
          <cell r="F53" t="str">
            <v/>
          </cell>
          <cell r="G53">
            <v>1</v>
          </cell>
          <cell r="H53" t="str">
            <v/>
          </cell>
          <cell r="L53" t="str">
            <v/>
          </cell>
          <cell r="U53" t="str">
            <v/>
          </cell>
        </row>
        <row r="54">
          <cell r="B54" t="str">
            <v/>
          </cell>
          <cell r="C54" t="str">
            <v/>
          </cell>
          <cell r="E54" t="str">
            <v/>
          </cell>
          <cell r="F54" t="str">
            <v/>
          </cell>
          <cell r="G54">
            <v>1</v>
          </cell>
          <cell r="H54" t="str">
            <v/>
          </cell>
          <cell r="L54" t="str">
            <v/>
          </cell>
          <cell r="U54" t="str">
            <v/>
          </cell>
        </row>
        <row r="55">
          <cell r="B55" t="str">
            <v/>
          </cell>
          <cell r="C55" t="str">
            <v/>
          </cell>
          <cell r="E55" t="str">
            <v/>
          </cell>
          <cell r="F55" t="str">
            <v/>
          </cell>
          <cell r="G55">
            <v>1</v>
          </cell>
          <cell r="H55" t="str">
            <v/>
          </cell>
          <cell r="L55" t="str">
            <v/>
          </cell>
          <cell r="U55" t="str">
            <v/>
          </cell>
        </row>
        <row r="56">
          <cell r="B56" t="str">
            <v/>
          </cell>
          <cell r="C56" t="str">
            <v/>
          </cell>
          <cell r="E56" t="str">
            <v/>
          </cell>
          <cell r="F56" t="str">
            <v/>
          </cell>
          <cell r="H56" t="str">
            <v/>
          </cell>
          <cell r="L56" t="str">
            <v/>
          </cell>
          <cell r="U56" t="str">
            <v/>
          </cell>
        </row>
        <row r="57">
          <cell r="B57" t="str">
            <v/>
          </cell>
          <cell r="C57" t="str">
            <v/>
          </cell>
          <cell r="E57" t="str">
            <v/>
          </cell>
          <cell r="F57" t="str">
            <v/>
          </cell>
          <cell r="H57" t="str">
            <v/>
          </cell>
          <cell r="L57" t="str">
            <v/>
          </cell>
          <cell r="U57" t="str">
            <v/>
          </cell>
        </row>
        <row r="58">
          <cell r="B58" t="str">
            <v/>
          </cell>
          <cell r="C58" t="str">
            <v/>
          </cell>
          <cell r="E58" t="str">
            <v/>
          </cell>
          <cell r="F58" t="str">
            <v/>
          </cell>
          <cell r="H58" t="str">
            <v/>
          </cell>
          <cell r="L58" t="str">
            <v/>
          </cell>
          <cell r="U58" t="str">
            <v/>
          </cell>
        </row>
        <row r="59">
          <cell r="B59" t="str">
            <v/>
          </cell>
          <cell r="C59" t="str">
            <v/>
          </cell>
          <cell r="E59" t="str">
            <v/>
          </cell>
          <cell r="F59" t="str">
            <v/>
          </cell>
          <cell r="H59" t="str">
            <v/>
          </cell>
          <cell r="L59" t="str">
            <v/>
          </cell>
          <cell r="U59" t="str">
            <v/>
          </cell>
        </row>
        <row r="60">
          <cell r="B60" t="str">
            <v/>
          </cell>
          <cell r="C60" t="str">
            <v/>
          </cell>
          <cell r="E60" t="str">
            <v/>
          </cell>
          <cell r="F60" t="str">
            <v/>
          </cell>
          <cell r="H60" t="str">
            <v/>
          </cell>
          <cell r="L60" t="str">
            <v/>
          </cell>
          <cell r="U60" t="str">
            <v/>
          </cell>
        </row>
        <row r="61">
          <cell r="B61" t="str">
            <v/>
          </cell>
          <cell r="C61" t="str">
            <v/>
          </cell>
          <cell r="E61" t="str">
            <v/>
          </cell>
          <cell r="F61" t="str">
            <v/>
          </cell>
          <cell r="H61" t="str">
            <v/>
          </cell>
          <cell r="L61" t="str">
            <v/>
          </cell>
          <cell r="U61" t="str">
            <v/>
          </cell>
        </row>
        <row r="62">
          <cell r="B62" t="str">
            <v/>
          </cell>
          <cell r="C62" t="str">
            <v/>
          </cell>
          <cell r="E62" t="str">
            <v/>
          </cell>
          <cell r="F62" t="str">
            <v/>
          </cell>
          <cell r="H62" t="str">
            <v/>
          </cell>
          <cell r="L62" t="str">
            <v/>
          </cell>
          <cell r="U62" t="str">
            <v/>
          </cell>
        </row>
        <row r="63">
          <cell r="B63" t="str">
            <v/>
          </cell>
          <cell r="C63" t="str">
            <v/>
          </cell>
          <cell r="E63" t="str">
            <v/>
          </cell>
          <cell r="F63" t="str">
            <v/>
          </cell>
          <cell r="H63" t="str">
            <v/>
          </cell>
          <cell r="L63" t="str">
            <v/>
          </cell>
          <cell r="U63" t="str">
            <v/>
          </cell>
        </row>
        <row r="64">
          <cell r="B64" t="str">
            <v/>
          </cell>
          <cell r="C64" t="str">
            <v/>
          </cell>
          <cell r="E64" t="str">
            <v/>
          </cell>
          <cell r="F64" t="str">
            <v/>
          </cell>
          <cell r="H64" t="str">
            <v/>
          </cell>
          <cell r="L64" t="str">
            <v/>
          </cell>
          <cell r="U64" t="str">
            <v/>
          </cell>
        </row>
        <row r="65">
          <cell r="B65" t="str">
            <v/>
          </cell>
          <cell r="C65" t="str">
            <v/>
          </cell>
          <cell r="E65" t="str">
            <v/>
          </cell>
          <cell r="F65" t="str">
            <v/>
          </cell>
          <cell r="H65" t="str">
            <v/>
          </cell>
          <cell r="L65" t="str">
            <v/>
          </cell>
          <cell r="U65" t="str">
            <v/>
          </cell>
        </row>
        <row r="66">
          <cell r="B66" t="str">
            <v/>
          </cell>
          <cell r="C66" t="str">
            <v/>
          </cell>
          <cell r="E66" t="str">
            <v/>
          </cell>
          <cell r="F66" t="str">
            <v/>
          </cell>
          <cell r="H66" t="str">
            <v/>
          </cell>
          <cell r="L66" t="str">
            <v/>
          </cell>
          <cell r="U66" t="str">
            <v/>
          </cell>
        </row>
        <row r="67">
          <cell r="B67" t="str">
            <v/>
          </cell>
          <cell r="C67" t="str">
            <v/>
          </cell>
          <cell r="E67" t="str">
            <v/>
          </cell>
          <cell r="F67" t="str">
            <v/>
          </cell>
          <cell r="H67" t="str">
            <v/>
          </cell>
          <cell r="L67" t="str">
            <v/>
          </cell>
          <cell r="U67" t="str">
            <v/>
          </cell>
        </row>
        <row r="68">
          <cell r="B68" t="str">
            <v/>
          </cell>
          <cell r="C68" t="str">
            <v/>
          </cell>
          <cell r="E68" t="str">
            <v/>
          </cell>
          <cell r="F68" t="str">
            <v/>
          </cell>
          <cell r="H68" t="str">
            <v/>
          </cell>
          <cell r="L68" t="str">
            <v/>
          </cell>
          <cell r="U68" t="str">
            <v/>
          </cell>
        </row>
        <row r="69">
          <cell r="B69" t="str">
            <v/>
          </cell>
          <cell r="C69" t="str">
            <v/>
          </cell>
          <cell r="E69" t="str">
            <v/>
          </cell>
          <cell r="F69" t="str">
            <v/>
          </cell>
          <cell r="H69" t="str">
            <v/>
          </cell>
          <cell r="L69" t="str">
            <v/>
          </cell>
          <cell r="U69" t="str">
            <v/>
          </cell>
        </row>
        <row r="70">
          <cell r="B70" t="str">
            <v/>
          </cell>
          <cell r="C70" t="str">
            <v/>
          </cell>
          <cell r="E70" t="str">
            <v/>
          </cell>
          <cell r="F70" t="str">
            <v/>
          </cell>
          <cell r="H70" t="str">
            <v/>
          </cell>
          <cell r="L70" t="str">
            <v/>
          </cell>
          <cell r="U70" t="str">
            <v/>
          </cell>
        </row>
        <row r="71">
          <cell r="B71" t="str">
            <v/>
          </cell>
          <cell r="C71" t="str">
            <v/>
          </cell>
          <cell r="E71" t="str">
            <v/>
          </cell>
          <cell r="F71" t="str">
            <v/>
          </cell>
          <cell r="H71" t="str">
            <v/>
          </cell>
          <cell r="L71" t="str">
            <v/>
          </cell>
          <cell r="U71" t="str">
            <v/>
          </cell>
        </row>
        <row r="72">
          <cell r="B72" t="str">
            <v/>
          </cell>
          <cell r="C72" t="str">
            <v/>
          </cell>
          <cell r="E72" t="str">
            <v/>
          </cell>
          <cell r="F72" t="str">
            <v/>
          </cell>
          <cell r="H72" t="str">
            <v/>
          </cell>
          <cell r="L72" t="str">
            <v/>
          </cell>
          <cell r="U72" t="str">
            <v/>
          </cell>
        </row>
        <row r="73">
          <cell r="B73" t="str">
            <v/>
          </cell>
          <cell r="C73" t="str">
            <v/>
          </cell>
          <cell r="E73" t="str">
            <v/>
          </cell>
          <cell r="F73" t="str">
            <v/>
          </cell>
          <cell r="H73" t="str">
            <v/>
          </cell>
          <cell r="L73" t="str">
            <v/>
          </cell>
          <cell r="U73" t="str">
            <v/>
          </cell>
        </row>
        <row r="74">
          <cell r="B74" t="str">
            <v/>
          </cell>
          <cell r="C74" t="str">
            <v/>
          </cell>
          <cell r="E74" t="str">
            <v/>
          </cell>
          <cell r="F74" t="str">
            <v/>
          </cell>
          <cell r="H74" t="str">
            <v/>
          </cell>
          <cell r="L74" t="str">
            <v/>
          </cell>
          <cell r="U74" t="str">
            <v/>
          </cell>
        </row>
        <row r="75">
          <cell r="B75" t="str">
            <v/>
          </cell>
          <cell r="C75" t="str">
            <v/>
          </cell>
          <cell r="E75" t="str">
            <v/>
          </cell>
          <cell r="F75" t="str">
            <v/>
          </cell>
          <cell r="H75" t="str">
            <v/>
          </cell>
          <cell r="L75" t="str">
            <v/>
          </cell>
          <cell r="U75" t="str">
            <v/>
          </cell>
        </row>
        <row r="76">
          <cell r="B76" t="str">
            <v/>
          </cell>
          <cell r="C76" t="str">
            <v/>
          </cell>
          <cell r="E76" t="str">
            <v/>
          </cell>
          <cell r="F76" t="str">
            <v/>
          </cell>
          <cell r="H76" t="str">
            <v/>
          </cell>
          <cell r="L76" t="str">
            <v/>
          </cell>
          <cell r="U76" t="str">
            <v/>
          </cell>
        </row>
        <row r="77">
          <cell r="B77" t="str">
            <v/>
          </cell>
          <cell r="C77" t="str">
            <v/>
          </cell>
          <cell r="E77" t="str">
            <v/>
          </cell>
          <cell r="F77" t="str">
            <v/>
          </cell>
          <cell r="H77" t="str">
            <v/>
          </cell>
          <cell r="L77" t="str">
            <v/>
          </cell>
          <cell r="U77" t="str">
            <v/>
          </cell>
        </row>
        <row r="78">
          <cell r="B78" t="str">
            <v/>
          </cell>
          <cell r="C78" t="str">
            <v/>
          </cell>
          <cell r="E78" t="str">
            <v/>
          </cell>
          <cell r="F78" t="str">
            <v/>
          </cell>
          <cell r="H78" t="str">
            <v/>
          </cell>
          <cell r="L78" t="str">
            <v/>
          </cell>
          <cell r="U78" t="str">
            <v/>
          </cell>
        </row>
        <row r="79">
          <cell r="B79" t="str">
            <v/>
          </cell>
          <cell r="C79" t="str">
            <v/>
          </cell>
          <cell r="E79" t="str">
            <v/>
          </cell>
          <cell r="F79" t="str">
            <v/>
          </cell>
          <cell r="H79" t="str">
            <v/>
          </cell>
          <cell r="L79" t="str">
            <v/>
          </cell>
          <cell r="U79" t="str">
            <v/>
          </cell>
        </row>
        <row r="80">
          <cell r="B80" t="str">
            <v/>
          </cell>
          <cell r="C80" t="str">
            <v/>
          </cell>
          <cell r="E80" t="str">
            <v/>
          </cell>
          <cell r="F80" t="str">
            <v/>
          </cell>
          <cell r="H80" t="str">
            <v/>
          </cell>
          <cell r="L80" t="str">
            <v/>
          </cell>
          <cell r="U80" t="str">
            <v/>
          </cell>
        </row>
        <row r="81">
          <cell r="B81" t="str">
            <v/>
          </cell>
          <cell r="C81" t="str">
            <v/>
          </cell>
          <cell r="E81" t="str">
            <v/>
          </cell>
          <cell r="F81" t="str">
            <v/>
          </cell>
          <cell r="H81" t="str">
            <v/>
          </cell>
          <cell r="L81" t="str">
            <v/>
          </cell>
          <cell r="U81" t="str">
            <v/>
          </cell>
        </row>
        <row r="82">
          <cell r="B82" t="str">
            <v/>
          </cell>
          <cell r="C82" t="str">
            <v/>
          </cell>
          <cell r="E82" t="str">
            <v/>
          </cell>
          <cell r="F82" t="str">
            <v/>
          </cell>
          <cell r="H82" t="str">
            <v/>
          </cell>
          <cell r="L82" t="str">
            <v/>
          </cell>
          <cell r="U82" t="str">
            <v/>
          </cell>
        </row>
        <row r="83">
          <cell r="B83" t="str">
            <v/>
          </cell>
          <cell r="C83" t="str">
            <v/>
          </cell>
          <cell r="E83" t="str">
            <v/>
          </cell>
          <cell r="F83" t="str">
            <v/>
          </cell>
          <cell r="H83" t="str">
            <v/>
          </cell>
          <cell r="L83" t="str">
            <v/>
          </cell>
          <cell r="U83" t="str">
            <v/>
          </cell>
        </row>
        <row r="84">
          <cell r="B84" t="str">
            <v/>
          </cell>
          <cell r="C84" t="str">
            <v/>
          </cell>
          <cell r="E84" t="str">
            <v/>
          </cell>
          <cell r="F84" t="str">
            <v/>
          </cell>
          <cell r="H84" t="str">
            <v/>
          </cell>
          <cell r="L84" t="str">
            <v/>
          </cell>
          <cell r="U84" t="str">
            <v/>
          </cell>
        </row>
        <row r="85">
          <cell r="B85" t="str">
            <v/>
          </cell>
          <cell r="C85" t="str">
            <v/>
          </cell>
          <cell r="E85" t="str">
            <v/>
          </cell>
          <cell r="F85" t="str">
            <v/>
          </cell>
          <cell r="H85" t="str">
            <v/>
          </cell>
          <cell r="L85" t="str">
            <v/>
          </cell>
          <cell r="U85" t="str">
            <v/>
          </cell>
        </row>
        <row r="86">
          <cell r="B86" t="str">
            <v/>
          </cell>
          <cell r="C86" t="str">
            <v/>
          </cell>
          <cell r="E86" t="str">
            <v/>
          </cell>
          <cell r="F86" t="str">
            <v/>
          </cell>
          <cell r="H86" t="str">
            <v/>
          </cell>
          <cell r="L86" t="str">
            <v/>
          </cell>
          <cell r="U86" t="str">
            <v/>
          </cell>
        </row>
        <row r="87">
          <cell r="B87" t="str">
            <v/>
          </cell>
          <cell r="C87" t="str">
            <v/>
          </cell>
          <cell r="E87" t="str">
            <v/>
          </cell>
          <cell r="F87" t="str">
            <v/>
          </cell>
          <cell r="H87" t="str">
            <v/>
          </cell>
          <cell r="L87" t="str">
            <v/>
          </cell>
          <cell r="U87" t="str">
            <v/>
          </cell>
        </row>
        <row r="88">
          <cell r="B88" t="str">
            <v/>
          </cell>
          <cell r="C88" t="str">
            <v/>
          </cell>
          <cell r="E88" t="str">
            <v/>
          </cell>
          <cell r="F88" t="str">
            <v/>
          </cell>
          <cell r="H88" t="str">
            <v/>
          </cell>
          <cell r="L88" t="str">
            <v/>
          </cell>
          <cell r="U88" t="str">
            <v/>
          </cell>
        </row>
        <row r="89">
          <cell r="B89" t="str">
            <v/>
          </cell>
          <cell r="C89" t="str">
            <v/>
          </cell>
          <cell r="E89" t="str">
            <v/>
          </cell>
          <cell r="F89" t="str">
            <v/>
          </cell>
          <cell r="H89" t="str">
            <v/>
          </cell>
          <cell r="L89" t="str">
            <v/>
          </cell>
          <cell r="U89" t="str">
            <v/>
          </cell>
        </row>
        <row r="90">
          <cell r="B90" t="str">
            <v/>
          </cell>
          <cell r="C90" t="str">
            <v/>
          </cell>
          <cell r="E90" t="str">
            <v/>
          </cell>
          <cell r="F90" t="str">
            <v/>
          </cell>
          <cell r="H90" t="str">
            <v/>
          </cell>
          <cell r="L90" t="str">
            <v/>
          </cell>
          <cell r="U90" t="str">
            <v/>
          </cell>
        </row>
        <row r="91">
          <cell r="B91" t="str">
            <v/>
          </cell>
          <cell r="C91" t="str">
            <v/>
          </cell>
          <cell r="E91" t="str">
            <v/>
          </cell>
          <cell r="F91" t="str">
            <v/>
          </cell>
          <cell r="H91" t="str">
            <v/>
          </cell>
          <cell r="L91" t="str">
            <v/>
          </cell>
          <cell r="U91" t="str">
            <v/>
          </cell>
        </row>
        <row r="92">
          <cell r="B92" t="str">
            <v/>
          </cell>
          <cell r="C92" t="str">
            <v/>
          </cell>
          <cell r="E92" t="str">
            <v/>
          </cell>
          <cell r="F92" t="str">
            <v/>
          </cell>
          <cell r="H92" t="str">
            <v/>
          </cell>
          <cell r="L92" t="str">
            <v/>
          </cell>
          <cell r="U92" t="str">
            <v/>
          </cell>
        </row>
        <row r="93">
          <cell r="B93" t="str">
            <v/>
          </cell>
          <cell r="C93" t="str">
            <v/>
          </cell>
          <cell r="E93" t="str">
            <v/>
          </cell>
          <cell r="F93" t="str">
            <v/>
          </cell>
          <cell r="H93" t="str">
            <v/>
          </cell>
          <cell r="L93" t="str">
            <v/>
          </cell>
          <cell r="U93" t="str">
            <v/>
          </cell>
        </row>
        <row r="94">
          <cell r="B94" t="str">
            <v/>
          </cell>
          <cell r="C94" t="str">
            <v/>
          </cell>
          <cell r="E94" t="str">
            <v/>
          </cell>
          <cell r="F94" t="str">
            <v/>
          </cell>
          <cell r="H94" t="str">
            <v/>
          </cell>
          <cell r="L94" t="str">
            <v/>
          </cell>
          <cell r="U94" t="str">
            <v/>
          </cell>
        </row>
        <row r="95">
          <cell r="B95" t="str">
            <v/>
          </cell>
          <cell r="C95" t="str">
            <v/>
          </cell>
          <cell r="E95" t="str">
            <v/>
          </cell>
          <cell r="F95" t="str">
            <v/>
          </cell>
          <cell r="H95" t="str">
            <v/>
          </cell>
          <cell r="L95" t="str">
            <v/>
          </cell>
          <cell r="U95" t="str">
            <v/>
          </cell>
        </row>
        <row r="96">
          <cell r="B96" t="str">
            <v/>
          </cell>
          <cell r="C96" t="str">
            <v/>
          </cell>
          <cell r="E96" t="str">
            <v/>
          </cell>
          <cell r="F96" t="str">
            <v/>
          </cell>
          <cell r="H96" t="str">
            <v/>
          </cell>
          <cell r="L96" t="str">
            <v/>
          </cell>
          <cell r="U96" t="str">
            <v/>
          </cell>
        </row>
        <row r="97">
          <cell r="B97" t="str">
            <v/>
          </cell>
          <cell r="C97" t="str">
            <v/>
          </cell>
          <cell r="E97" t="str">
            <v/>
          </cell>
          <cell r="F97" t="str">
            <v/>
          </cell>
          <cell r="H97" t="str">
            <v/>
          </cell>
          <cell r="L97" t="str">
            <v/>
          </cell>
          <cell r="U97" t="str">
            <v/>
          </cell>
        </row>
        <row r="98">
          <cell r="B98" t="str">
            <v/>
          </cell>
          <cell r="C98" t="str">
            <v/>
          </cell>
          <cell r="E98" t="str">
            <v/>
          </cell>
          <cell r="F98" t="str">
            <v/>
          </cell>
          <cell r="H98" t="str">
            <v/>
          </cell>
          <cell r="L98" t="str">
            <v/>
          </cell>
          <cell r="U98" t="str">
            <v/>
          </cell>
        </row>
        <row r="99">
          <cell r="B99" t="str">
            <v/>
          </cell>
          <cell r="C99" t="str">
            <v/>
          </cell>
          <cell r="E99" t="str">
            <v/>
          </cell>
          <cell r="F99" t="str">
            <v/>
          </cell>
          <cell r="H99" t="str">
            <v/>
          </cell>
          <cell r="L99" t="str">
            <v/>
          </cell>
          <cell r="U99" t="str">
            <v/>
          </cell>
        </row>
        <row r="100">
          <cell r="B100" t="str">
            <v/>
          </cell>
          <cell r="C100" t="str">
            <v/>
          </cell>
          <cell r="E100" t="str">
            <v/>
          </cell>
          <cell r="F100" t="str">
            <v/>
          </cell>
          <cell r="H100" t="str">
            <v/>
          </cell>
          <cell r="L100" t="str">
            <v/>
          </cell>
          <cell r="U100" t="str">
            <v/>
          </cell>
        </row>
        <row r="101">
          <cell r="B101" t="str">
            <v/>
          </cell>
          <cell r="C101" t="str">
            <v/>
          </cell>
          <cell r="E101" t="str">
            <v/>
          </cell>
          <cell r="F101" t="str">
            <v/>
          </cell>
          <cell r="H101" t="str">
            <v/>
          </cell>
          <cell r="L101" t="str">
            <v/>
          </cell>
          <cell r="U101" t="str">
            <v/>
          </cell>
        </row>
        <row r="102">
          <cell r="B102" t="str">
            <v/>
          </cell>
          <cell r="C102" t="str">
            <v/>
          </cell>
          <cell r="E102" t="str">
            <v/>
          </cell>
          <cell r="F102" t="str">
            <v/>
          </cell>
          <cell r="H102" t="str">
            <v/>
          </cell>
          <cell r="L102" t="str">
            <v/>
          </cell>
          <cell r="U102" t="str">
            <v/>
          </cell>
        </row>
        <row r="103">
          <cell r="B103" t="str">
            <v/>
          </cell>
          <cell r="C103" t="str">
            <v/>
          </cell>
          <cell r="E103" t="str">
            <v/>
          </cell>
          <cell r="F103" t="str">
            <v/>
          </cell>
          <cell r="H103" t="str">
            <v/>
          </cell>
          <cell r="L103" t="str">
            <v/>
          </cell>
          <cell r="U103" t="str">
            <v/>
          </cell>
        </row>
        <row r="104">
          <cell r="B104" t="str">
            <v/>
          </cell>
          <cell r="C104" t="str">
            <v/>
          </cell>
          <cell r="E104" t="str">
            <v/>
          </cell>
          <cell r="F104" t="str">
            <v/>
          </cell>
          <cell r="H104" t="str">
            <v/>
          </cell>
          <cell r="L104" t="str">
            <v/>
          </cell>
          <cell r="U104" t="str">
            <v/>
          </cell>
        </row>
        <row r="105">
          <cell r="B105" t="str">
            <v/>
          </cell>
          <cell r="C105" t="str">
            <v/>
          </cell>
          <cell r="E105" t="str">
            <v/>
          </cell>
          <cell r="F105" t="str">
            <v/>
          </cell>
          <cell r="H105" t="str">
            <v/>
          </cell>
          <cell r="L105" t="str">
            <v/>
          </cell>
          <cell r="U105" t="str">
            <v/>
          </cell>
        </row>
        <row r="106">
          <cell r="B106" t="str">
            <v/>
          </cell>
          <cell r="C106" t="str">
            <v/>
          </cell>
          <cell r="E106" t="str">
            <v/>
          </cell>
          <cell r="F106" t="str">
            <v/>
          </cell>
          <cell r="H106" t="str">
            <v/>
          </cell>
          <cell r="L106" t="str">
            <v/>
          </cell>
          <cell r="U106" t="str">
            <v/>
          </cell>
        </row>
        <row r="107">
          <cell r="B107" t="str">
            <v/>
          </cell>
          <cell r="C107" t="str">
            <v/>
          </cell>
          <cell r="E107" t="str">
            <v/>
          </cell>
          <cell r="F107" t="str">
            <v/>
          </cell>
          <cell r="H107" t="str">
            <v/>
          </cell>
          <cell r="L107" t="str">
            <v/>
          </cell>
          <cell r="U107" t="str">
            <v/>
          </cell>
        </row>
        <row r="108">
          <cell r="B108" t="str">
            <v/>
          </cell>
          <cell r="C108" t="str">
            <v/>
          </cell>
          <cell r="E108" t="str">
            <v/>
          </cell>
          <cell r="F108" t="str">
            <v/>
          </cell>
          <cell r="H108" t="str">
            <v/>
          </cell>
          <cell r="L108" t="str">
            <v/>
          </cell>
          <cell r="U108" t="str">
            <v/>
          </cell>
        </row>
        <row r="109">
          <cell r="B109" t="str">
            <v/>
          </cell>
          <cell r="C109" t="str">
            <v/>
          </cell>
          <cell r="E109" t="str">
            <v/>
          </cell>
          <cell r="F109" t="str">
            <v/>
          </cell>
          <cell r="H109" t="str">
            <v/>
          </cell>
          <cell r="L109" t="str">
            <v/>
          </cell>
          <cell r="U109" t="str">
            <v/>
          </cell>
        </row>
        <row r="110">
          <cell r="B110" t="str">
            <v/>
          </cell>
          <cell r="C110" t="str">
            <v/>
          </cell>
          <cell r="E110" t="str">
            <v/>
          </cell>
          <cell r="F110" t="str">
            <v/>
          </cell>
          <cell r="H110" t="str">
            <v/>
          </cell>
          <cell r="L110" t="str">
            <v/>
          </cell>
          <cell r="U110" t="str">
            <v/>
          </cell>
        </row>
        <row r="111">
          <cell r="B111" t="str">
            <v/>
          </cell>
          <cell r="C111" t="str">
            <v/>
          </cell>
          <cell r="E111" t="str">
            <v/>
          </cell>
          <cell r="F111" t="str">
            <v/>
          </cell>
          <cell r="H111" t="str">
            <v/>
          </cell>
          <cell r="L111" t="str">
            <v/>
          </cell>
          <cell r="U111" t="str">
            <v/>
          </cell>
        </row>
        <row r="112">
          <cell r="B112" t="str">
            <v/>
          </cell>
          <cell r="C112" t="str">
            <v/>
          </cell>
          <cell r="E112" t="str">
            <v/>
          </cell>
          <cell r="F112" t="str">
            <v/>
          </cell>
          <cell r="H112" t="str">
            <v/>
          </cell>
          <cell r="L112" t="str">
            <v/>
          </cell>
          <cell r="U112" t="str">
            <v/>
          </cell>
        </row>
        <row r="113">
          <cell r="B113" t="str">
            <v/>
          </cell>
          <cell r="C113" t="str">
            <v/>
          </cell>
          <cell r="E113" t="str">
            <v/>
          </cell>
          <cell r="F113" t="str">
            <v/>
          </cell>
          <cell r="H113" t="str">
            <v/>
          </cell>
          <cell r="L113" t="str">
            <v/>
          </cell>
          <cell r="U113" t="str">
            <v/>
          </cell>
        </row>
        <row r="114">
          <cell r="B114" t="str">
            <v/>
          </cell>
          <cell r="C114" t="str">
            <v/>
          </cell>
          <cell r="E114" t="str">
            <v/>
          </cell>
          <cell r="F114" t="str">
            <v/>
          </cell>
          <cell r="H114" t="str">
            <v/>
          </cell>
          <cell r="L114" t="str">
            <v/>
          </cell>
          <cell r="U114" t="str">
            <v/>
          </cell>
        </row>
        <row r="115">
          <cell r="B115" t="str">
            <v/>
          </cell>
          <cell r="C115" t="str">
            <v/>
          </cell>
          <cell r="E115" t="str">
            <v/>
          </cell>
          <cell r="F115" t="str">
            <v/>
          </cell>
          <cell r="H115" t="str">
            <v/>
          </cell>
          <cell r="L115" t="str">
            <v/>
          </cell>
          <cell r="U115" t="str">
            <v/>
          </cell>
        </row>
        <row r="116">
          <cell r="B116" t="str">
            <v/>
          </cell>
          <cell r="C116" t="str">
            <v/>
          </cell>
          <cell r="E116" t="str">
            <v/>
          </cell>
          <cell r="F116" t="str">
            <v/>
          </cell>
          <cell r="H116" t="str">
            <v/>
          </cell>
          <cell r="L116" t="str">
            <v/>
          </cell>
          <cell r="U116" t="str">
            <v/>
          </cell>
        </row>
        <row r="117">
          <cell r="B117" t="str">
            <v/>
          </cell>
          <cell r="C117" t="str">
            <v/>
          </cell>
          <cell r="E117" t="str">
            <v/>
          </cell>
          <cell r="F117" t="str">
            <v/>
          </cell>
          <cell r="H117" t="str">
            <v/>
          </cell>
          <cell r="L117" t="str">
            <v/>
          </cell>
          <cell r="U117" t="str">
            <v/>
          </cell>
        </row>
        <row r="118">
          <cell r="B118" t="str">
            <v/>
          </cell>
          <cell r="C118" t="str">
            <v/>
          </cell>
          <cell r="E118" t="str">
            <v/>
          </cell>
          <cell r="F118" t="str">
            <v/>
          </cell>
          <cell r="H118" t="str">
            <v/>
          </cell>
          <cell r="L118" t="str">
            <v/>
          </cell>
          <cell r="U118" t="str">
            <v/>
          </cell>
        </row>
        <row r="119">
          <cell r="B119" t="str">
            <v/>
          </cell>
          <cell r="C119" t="str">
            <v/>
          </cell>
          <cell r="E119" t="str">
            <v/>
          </cell>
          <cell r="F119" t="str">
            <v/>
          </cell>
          <cell r="H119" t="str">
            <v/>
          </cell>
          <cell r="L119" t="str">
            <v/>
          </cell>
          <cell r="U119" t="str">
            <v/>
          </cell>
        </row>
        <row r="120">
          <cell r="B120" t="str">
            <v/>
          </cell>
          <cell r="C120" t="str">
            <v/>
          </cell>
          <cell r="E120" t="str">
            <v/>
          </cell>
          <cell r="F120" t="str">
            <v/>
          </cell>
          <cell r="H120" t="str">
            <v/>
          </cell>
          <cell r="L120" t="str">
            <v/>
          </cell>
          <cell r="U120" t="str">
            <v/>
          </cell>
        </row>
        <row r="121">
          <cell r="B121" t="str">
            <v/>
          </cell>
          <cell r="C121" t="str">
            <v/>
          </cell>
          <cell r="E121" t="str">
            <v/>
          </cell>
          <cell r="F121" t="str">
            <v/>
          </cell>
          <cell r="H121" t="str">
            <v/>
          </cell>
          <cell r="L121" t="str">
            <v/>
          </cell>
          <cell r="U121" t="str">
            <v/>
          </cell>
        </row>
        <row r="122">
          <cell r="B122" t="str">
            <v/>
          </cell>
          <cell r="C122" t="str">
            <v/>
          </cell>
          <cell r="E122" t="str">
            <v/>
          </cell>
          <cell r="F122" t="str">
            <v/>
          </cell>
          <cell r="H122" t="str">
            <v/>
          </cell>
          <cell r="L122" t="str">
            <v/>
          </cell>
          <cell r="U122" t="str">
            <v/>
          </cell>
        </row>
        <row r="123">
          <cell r="B123" t="str">
            <v/>
          </cell>
          <cell r="C123" t="str">
            <v/>
          </cell>
          <cell r="E123" t="str">
            <v/>
          </cell>
          <cell r="F123" t="str">
            <v/>
          </cell>
          <cell r="H123" t="str">
            <v/>
          </cell>
          <cell r="L123" t="str">
            <v/>
          </cell>
          <cell r="U123" t="str">
            <v/>
          </cell>
        </row>
        <row r="124">
          <cell r="B124" t="str">
            <v/>
          </cell>
          <cell r="C124" t="str">
            <v/>
          </cell>
          <cell r="E124" t="str">
            <v/>
          </cell>
          <cell r="F124" t="str">
            <v/>
          </cell>
          <cell r="H124" t="str">
            <v/>
          </cell>
          <cell r="L124" t="str">
            <v/>
          </cell>
          <cell r="U124" t="str">
            <v/>
          </cell>
        </row>
        <row r="125">
          <cell r="B125" t="str">
            <v/>
          </cell>
          <cell r="C125" t="str">
            <v/>
          </cell>
          <cell r="E125" t="str">
            <v/>
          </cell>
          <cell r="F125" t="str">
            <v/>
          </cell>
          <cell r="H125" t="str">
            <v/>
          </cell>
          <cell r="L125" t="str">
            <v/>
          </cell>
          <cell r="U125" t="str">
            <v/>
          </cell>
        </row>
        <row r="126">
          <cell r="B126" t="str">
            <v/>
          </cell>
          <cell r="C126" t="str">
            <v/>
          </cell>
          <cell r="E126" t="str">
            <v/>
          </cell>
          <cell r="F126" t="str">
            <v/>
          </cell>
          <cell r="H126" t="str">
            <v/>
          </cell>
          <cell r="L126" t="str">
            <v/>
          </cell>
          <cell r="U126" t="str">
            <v/>
          </cell>
        </row>
        <row r="127">
          <cell r="B127" t="str">
            <v/>
          </cell>
          <cell r="C127" t="str">
            <v/>
          </cell>
          <cell r="E127" t="str">
            <v/>
          </cell>
          <cell r="F127" t="str">
            <v/>
          </cell>
          <cell r="H127" t="str">
            <v/>
          </cell>
          <cell r="L127" t="str">
            <v/>
          </cell>
          <cell r="U127" t="str">
            <v/>
          </cell>
        </row>
        <row r="128">
          <cell r="B128" t="str">
            <v/>
          </cell>
          <cell r="C128" t="str">
            <v/>
          </cell>
          <cell r="E128" t="str">
            <v/>
          </cell>
          <cell r="F128" t="str">
            <v/>
          </cell>
          <cell r="H128" t="str">
            <v/>
          </cell>
          <cell r="L128" t="str">
            <v/>
          </cell>
          <cell r="U128" t="str">
            <v/>
          </cell>
        </row>
        <row r="129">
          <cell r="B129" t="str">
            <v/>
          </cell>
          <cell r="C129" t="str">
            <v/>
          </cell>
          <cell r="E129" t="str">
            <v/>
          </cell>
          <cell r="F129" t="str">
            <v/>
          </cell>
          <cell r="H129" t="str">
            <v/>
          </cell>
          <cell r="L129" t="str">
            <v/>
          </cell>
          <cell r="U129" t="str">
            <v/>
          </cell>
        </row>
        <row r="130">
          <cell r="B130" t="str">
            <v/>
          </cell>
          <cell r="C130" t="str">
            <v/>
          </cell>
          <cell r="E130" t="str">
            <v/>
          </cell>
          <cell r="F130" t="str">
            <v/>
          </cell>
          <cell r="H130" t="str">
            <v/>
          </cell>
          <cell r="L130" t="str">
            <v/>
          </cell>
          <cell r="U130" t="str">
            <v/>
          </cell>
        </row>
        <row r="131">
          <cell r="B131" t="str">
            <v/>
          </cell>
          <cell r="C131" t="str">
            <v/>
          </cell>
          <cell r="E131" t="str">
            <v/>
          </cell>
          <cell r="F131" t="str">
            <v/>
          </cell>
          <cell r="H131" t="str">
            <v/>
          </cell>
          <cell r="L131" t="str">
            <v/>
          </cell>
          <cell r="U131" t="str">
            <v/>
          </cell>
        </row>
        <row r="132">
          <cell r="B132" t="str">
            <v/>
          </cell>
          <cell r="C132" t="str">
            <v/>
          </cell>
          <cell r="E132" t="str">
            <v/>
          </cell>
          <cell r="F132" t="str">
            <v/>
          </cell>
          <cell r="H132" t="str">
            <v/>
          </cell>
          <cell r="L132" t="str">
            <v/>
          </cell>
          <cell r="U132" t="str">
            <v/>
          </cell>
        </row>
        <row r="133">
          <cell r="B133" t="str">
            <v/>
          </cell>
          <cell r="C133" t="str">
            <v/>
          </cell>
          <cell r="E133" t="str">
            <v/>
          </cell>
          <cell r="F133" t="str">
            <v/>
          </cell>
          <cell r="H133" t="str">
            <v/>
          </cell>
          <cell r="L133" t="str">
            <v/>
          </cell>
          <cell r="U133" t="str">
            <v/>
          </cell>
        </row>
        <row r="134">
          <cell r="B134" t="str">
            <v/>
          </cell>
          <cell r="C134" t="str">
            <v/>
          </cell>
          <cell r="E134" t="str">
            <v/>
          </cell>
          <cell r="F134" t="str">
            <v/>
          </cell>
          <cell r="H134" t="str">
            <v/>
          </cell>
          <cell r="L134" t="str">
            <v/>
          </cell>
          <cell r="U134" t="str">
            <v/>
          </cell>
        </row>
        <row r="135">
          <cell r="B135" t="str">
            <v/>
          </cell>
          <cell r="C135" t="str">
            <v/>
          </cell>
          <cell r="E135" t="str">
            <v/>
          </cell>
          <cell r="F135" t="str">
            <v/>
          </cell>
          <cell r="H135" t="str">
            <v/>
          </cell>
          <cell r="L135" t="str">
            <v/>
          </cell>
          <cell r="U135" t="str">
            <v/>
          </cell>
        </row>
        <row r="136">
          <cell r="B136" t="str">
            <v/>
          </cell>
          <cell r="C136" t="str">
            <v/>
          </cell>
          <cell r="E136" t="str">
            <v/>
          </cell>
          <cell r="F136" t="str">
            <v/>
          </cell>
          <cell r="H136" t="str">
            <v/>
          </cell>
          <cell r="K136" t="str">
            <v/>
          </cell>
          <cell r="L136" t="str">
            <v/>
          </cell>
          <cell r="U136" t="str">
            <v/>
          </cell>
        </row>
        <row r="137">
          <cell r="B137" t="str">
            <v/>
          </cell>
          <cell r="C137" t="str">
            <v/>
          </cell>
          <cell r="E137" t="str">
            <v/>
          </cell>
          <cell r="F137" t="str">
            <v/>
          </cell>
          <cell r="H137" t="str">
            <v/>
          </cell>
          <cell r="K137" t="str">
            <v/>
          </cell>
          <cell r="L137" t="str">
            <v/>
          </cell>
          <cell r="U137" t="str">
            <v/>
          </cell>
        </row>
        <row r="138">
          <cell r="B138" t="str">
            <v/>
          </cell>
          <cell r="C138" t="str">
            <v/>
          </cell>
          <cell r="E138" t="str">
            <v/>
          </cell>
          <cell r="F138" t="str">
            <v/>
          </cell>
          <cell r="H138" t="str">
            <v/>
          </cell>
          <cell r="K138" t="str">
            <v/>
          </cell>
          <cell r="L138" t="str">
            <v/>
          </cell>
          <cell r="U138" t="str">
            <v/>
          </cell>
        </row>
        <row r="139">
          <cell r="B139" t="str">
            <v/>
          </cell>
          <cell r="C139" t="str">
            <v/>
          </cell>
          <cell r="E139" t="str">
            <v/>
          </cell>
          <cell r="F139" t="str">
            <v/>
          </cell>
          <cell r="H139" t="str">
            <v/>
          </cell>
          <cell r="K139" t="str">
            <v/>
          </cell>
          <cell r="L139" t="str">
            <v/>
          </cell>
          <cell r="U139" t="str">
            <v/>
          </cell>
        </row>
        <row r="140">
          <cell r="B140" t="str">
            <v/>
          </cell>
          <cell r="C140" t="str">
            <v/>
          </cell>
          <cell r="E140" t="str">
            <v/>
          </cell>
          <cell r="F140" t="str">
            <v/>
          </cell>
          <cell r="H140" t="str">
            <v/>
          </cell>
          <cell r="K140" t="str">
            <v/>
          </cell>
          <cell r="L140" t="str">
            <v/>
          </cell>
          <cell r="U140" t="str">
            <v/>
          </cell>
        </row>
        <row r="141">
          <cell r="B141" t="str">
            <v/>
          </cell>
          <cell r="C141" t="str">
            <v/>
          </cell>
          <cell r="E141" t="str">
            <v/>
          </cell>
          <cell r="F141" t="str">
            <v/>
          </cell>
          <cell r="H141" t="str">
            <v/>
          </cell>
          <cell r="K141" t="str">
            <v/>
          </cell>
          <cell r="L141" t="str">
            <v/>
          </cell>
          <cell r="U141" t="str">
            <v/>
          </cell>
        </row>
        <row r="142">
          <cell r="B142" t="str">
            <v/>
          </cell>
          <cell r="C142" t="str">
            <v/>
          </cell>
          <cell r="E142" t="str">
            <v/>
          </cell>
          <cell r="F142" t="str">
            <v/>
          </cell>
          <cell r="H142" t="str">
            <v/>
          </cell>
          <cell r="K142" t="str">
            <v/>
          </cell>
          <cell r="L142" t="str">
            <v/>
          </cell>
          <cell r="U142" t="str">
            <v/>
          </cell>
        </row>
        <row r="143">
          <cell r="U143" t="str">
            <v/>
          </cell>
        </row>
      </sheetData>
      <sheetData sheetId="11" refreshError="1">
        <row r="7">
          <cell r="B7">
            <v>1</v>
          </cell>
          <cell r="C7" t="str">
            <v>Dr. H. IDRUS ALWI, M.Pd</v>
          </cell>
          <cell r="D7">
            <v>87.3</v>
          </cell>
          <cell r="E7">
            <v>85</v>
          </cell>
          <cell r="F7" t="str">
            <v>Baik</v>
          </cell>
          <cell r="G7">
            <v>85</v>
          </cell>
          <cell r="H7" t="str">
            <v>Baik</v>
          </cell>
          <cell r="I7">
            <v>92</v>
          </cell>
          <cell r="J7" t="str">
            <v>Sangat Baik</v>
          </cell>
          <cell r="K7">
            <v>84</v>
          </cell>
          <cell r="L7" t="str">
            <v>Baik</v>
          </cell>
          <cell r="M7">
            <v>85</v>
          </cell>
          <cell r="N7" t="str">
            <v>Baik</v>
          </cell>
          <cell r="P7" t="str">
            <v/>
          </cell>
        </row>
        <row r="8">
          <cell r="B8">
            <v>2</v>
          </cell>
          <cell r="C8" t="str">
            <v>Drs. H. SUJANGI</v>
          </cell>
          <cell r="D8">
            <v>85.19</v>
          </cell>
          <cell r="E8">
            <v>84</v>
          </cell>
          <cell r="F8" t="str">
            <v>Baik</v>
          </cell>
          <cell r="G8">
            <v>84</v>
          </cell>
          <cell r="H8" t="str">
            <v>Baik</v>
          </cell>
          <cell r="I8">
            <v>92</v>
          </cell>
          <cell r="J8" t="str">
            <v>Sangat Baik</v>
          </cell>
          <cell r="K8">
            <v>84</v>
          </cell>
          <cell r="L8" t="str">
            <v>Baik</v>
          </cell>
          <cell r="M8">
            <v>84</v>
          </cell>
          <cell r="N8" t="str">
            <v>Baik</v>
          </cell>
          <cell r="P8" t="str">
            <v/>
          </cell>
        </row>
        <row r="9">
          <cell r="B9">
            <v>3</v>
          </cell>
          <cell r="C9" t="str">
            <v>Drs. M. SALEH</v>
          </cell>
          <cell r="D9">
            <v>84.67</v>
          </cell>
          <cell r="E9">
            <v>84</v>
          </cell>
          <cell r="F9" t="str">
            <v>Baik</v>
          </cell>
          <cell r="G9">
            <v>84</v>
          </cell>
          <cell r="H9" t="str">
            <v>Baik</v>
          </cell>
          <cell r="I9">
            <v>92</v>
          </cell>
          <cell r="J9" t="str">
            <v>Sangat Baik</v>
          </cell>
          <cell r="K9">
            <v>84</v>
          </cell>
          <cell r="L9" t="str">
            <v>Baik</v>
          </cell>
          <cell r="M9">
            <v>83</v>
          </cell>
          <cell r="N9" t="str">
            <v>Baik</v>
          </cell>
          <cell r="P9" t="str">
            <v/>
          </cell>
        </row>
        <row r="10">
          <cell r="B10">
            <v>4</v>
          </cell>
          <cell r="C10" t="str">
            <v>SITI NURBAITI, S.Ag, M.Pd.I</v>
          </cell>
          <cell r="D10">
            <v>85.23</v>
          </cell>
          <cell r="E10">
            <v>83</v>
          </cell>
          <cell r="F10" t="str">
            <v>Baik</v>
          </cell>
          <cell r="G10">
            <v>83</v>
          </cell>
          <cell r="H10" t="str">
            <v>Baik</v>
          </cell>
          <cell r="I10">
            <v>92</v>
          </cell>
          <cell r="J10" t="str">
            <v>Sangat Baik</v>
          </cell>
          <cell r="K10">
            <v>83</v>
          </cell>
          <cell r="L10" t="str">
            <v>Baik</v>
          </cell>
          <cell r="M10">
            <v>82</v>
          </cell>
          <cell r="N10" t="str">
            <v>Baik</v>
          </cell>
          <cell r="P10" t="str">
            <v/>
          </cell>
        </row>
        <row r="11">
          <cell r="B11">
            <v>5</v>
          </cell>
          <cell r="C11" t="str">
            <v>Drs. A. AMIN MUSTOFA, M.Pd</v>
          </cell>
          <cell r="D11">
            <v>84.25</v>
          </cell>
          <cell r="E11">
            <v>84</v>
          </cell>
          <cell r="F11" t="str">
            <v>Baik</v>
          </cell>
          <cell r="G11">
            <v>83</v>
          </cell>
          <cell r="H11" t="str">
            <v>Baik</v>
          </cell>
          <cell r="I11">
            <v>92</v>
          </cell>
          <cell r="J11" t="str">
            <v>Sangat Baik</v>
          </cell>
          <cell r="K11">
            <v>83</v>
          </cell>
          <cell r="L11" t="str">
            <v>Baik</v>
          </cell>
          <cell r="M11">
            <v>82</v>
          </cell>
          <cell r="N11" t="str">
            <v>Baik</v>
          </cell>
          <cell r="P11" t="str">
            <v/>
          </cell>
        </row>
        <row r="12">
          <cell r="B12">
            <v>6</v>
          </cell>
          <cell r="C12" t="str">
            <v>Drs. AKHMAD SUGANDA, M.Pd</v>
          </cell>
          <cell r="D12">
            <v>84.75</v>
          </cell>
          <cell r="E12">
            <v>84</v>
          </cell>
          <cell r="F12" t="str">
            <v>Baik</v>
          </cell>
          <cell r="G12">
            <v>84</v>
          </cell>
          <cell r="H12" t="str">
            <v>Baik</v>
          </cell>
          <cell r="I12">
            <v>92</v>
          </cell>
          <cell r="J12" t="str">
            <v>Sangat Baik</v>
          </cell>
          <cell r="K12">
            <v>84</v>
          </cell>
          <cell r="L12" t="str">
            <v>Baik</v>
          </cell>
          <cell r="M12">
            <v>84</v>
          </cell>
          <cell r="N12" t="str">
            <v>Baik</v>
          </cell>
          <cell r="P12" t="str">
            <v/>
          </cell>
        </row>
        <row r="13">
          <cell r="B13">
            <v>7</v>
          </cell>
          <cell r="C13" t="str">
            <v>Dr. Hj. KUN SRI WARDHANI, M.Pd</v>
          </cell>
          <cell r="D13">
            <v>84.17</v>
          </cell>
          <cell r="E13">
            <v>83</v>
          </cell>
          <cell r="F13" t="str">
            <v>Baik</v>
          </cell>
          <cell r="G13">
            <v>83</v>
          </cell>
          <cell r="H13" t="str">
            <v>Baik</v>
          </cell>
          <cell r="I13">
            <v>92</v>
          </cell>
          <cell r="J13" t="str">
            <v>Sangat Baik</v>
          </cell>
          <cell r="K13">
            <v>83</v>
          </cell>
          <cell r="L13" t="str">
            <v>Baik</v>
          </cell>
          <cell r="M13">
            <v>82</v>
          </cell>
          <cell r="N13" t="str">
            <v>Baik</v>
          </cell>
          <cell r="P13" t="str">
            <v/>
          </cell>
        </row>
        <row r="14">
          <cell r="B14">
            <v>8</v>
          </cell>
          <cell r="C14" t="str">
            <v>ABDUL MANAP, M.Pd</v>
          </cell>
          <cell r="D14">
            <v>83.77000000000001</v>
          </cell>
          <cell r="E14">
            <v>82</v>
          </cell>
          <cell r="F14" t="str">
            <v>Baik</v>
          </cell>
          <cell r="G14">
            <v>82</v>
          </cell>
          <cell r="H14" t="str">
            <v>Baik</v>
          </cell>
          <cell r="I14">
            <v>92</v>
          </cell>
          <cell r="J14" t="str">
            <v>Sangat Baik</v>
          </cell>
          <cell r="K14">
            <v>81</v>
          </cell>
          <cell r="L14" t="str">
            <v>Baik</v>
          </cell>
          <cell r="M14">
            <v>81</v>
          </cell>
          <cell r="N14" t="str">
            <v>Baik</v>
          </cell>
          <cell r="P14" t="str">
            <v/>
          </cell>
        </row>
        <row r="15">
          <cell r="B15">
            <v>9</v>
          </cell>
          <cell r="C15" t="str">
            <v>ABDUL WAHAB, S.Pd</v>
          </cell>
          <cell r="D15">
            <v>83.77000000000001</v>
          </cell>
          <cell r="E15">
            <v>82</v>
          </cell>
          <cell r="F15" t="str">
            <v>Baik</v>
          </cell>
          <cell r="G15">
            <v>82</v>
          </cell>
          <cell r="H15" t="str">
            <v>Baik</v>
          </cell>
          <cell r="I15">
            <v>92</v>
          </cell>
          <cell r="J15" t="str">
            <v>Sangat Baik</v>
          </cell>
          <cell r="K15">
            <v>81</v>
          </cell>
          <cell r="L15" t="str">
            <v>Baik</v>
          </cell>
          <cell r="M15">
            <v>81</v>
          </cell>
          <cell r="N15" t="str">
            <v>Baik</v>
          </cell>
          <cell r="P15" t="str">
            <v/>
          </cell>
        </row>
        <row r="16">
          <cell r="B16">
            <v>10</v>
          </cell>
          <cell r="C16" t="str">
            <v>A. TAUFIK, S.Ag, MM</v>
          </cell>
          <cell r="D16">
            <v>83.850000000000009</v>
          </cell>
          <cell r="E16">
            <v>82</v>
          </cell>
          <cell r="F16" t="str">
            <v>Baik</v>
          </cell>
          <cell r="G16">
            <v>82</v>
          </cell>
          <cell r="H16" t="str">
            <v>Baik</v>
          </cell>
          <cell r="I16">
            <v>92</v>
          </cell>
          <cell r="J16" t="str">
            <v>Sangat Baik</v>
          </cell>
          <cell r="K16">
            <v>82</v>
          </cell>
          <cell r="L16" t="str">
            <v>Baik</v>
          </cell>
          <cell r="M16">
            <v>81</v>
          </cell>
          <cell r="N16" t="str">
            <v>Baik</v>
          </cell>
          <cell r="P16" t="str">
            <v/>
          </cell>
        </row>
        <row r="17">
          <cell r="B17">
            <v>11</v>
          </cell>
          <cell r="C17" t="str">
            <v>Drs. HADI WIJAYA</v>
          </cell>
          <cell r="D17">
            <v>85.02000000000001</v>
          </cell>
          <cell r="E17">
            <v>84</v>
          </cell>
          <cell r="F17" t="str">
            <v>Baik</v>
          </cell>
          <cell r="G17">
            <v>84</v>
          </cell>
          <cell r="H17" t="str">
            <v>Baik</v>
          </cell>
          <cell r="I17">
            <v>92</v>
          </cell>
          <cell r="J17" t="str">
            <v>Sangat Baik</v>
          </cell>
          <cell r="K17">
            <v>84</v>
          </cell>
          <cell r="L17" t="str">
            <v>Baik</v>
          </cell>
          <cell r="M17">
            <v>83</v>
          </cell>
          <cell r="N17" t="str">
            <v>Baik</v>
          </cell>
          <cell r="P17" t="str">
            <v/>
          </cell>
        </row>
        <row r="18">
          <cell r="B18">
            <v>12</v>
          </cell>
          <cell r="C18" t="str">
            <v>ARTATI ISMAILIA, SE, M.Ak</v>
          </cell>
          <cell r="D18">
            <v>83.37</v>
          </cell>
          <cell r="E18">
            <v>81</v>
          </cell>
          <cell r="F18" t="str">
            <v>Baik</v>
          </cell>
          <cell r="G18">
            <v>80</v>
          </cell>
          <cell r="H18" t="str">
            <v>Baik</v>
          </cell>
          <cell r="I18">
            <v>92</v>
          </cell>
          <cell r="J18" t="str">
            <v>Sangat Baik</v>
          </cell>
          <cell r="K18">
            <v>80</v>
          </cell>
          <cell r="L18" t="str">
            <v>Baik</v>
          </cell>
          <cell r="M18">
            <v>80</v>
          </cell>
          <cell r="N18" t="str">
            <v>Baik</v>
          </cell>
          <cell r="P18" t="str">
            <v/>
          </cell>
        </row>
        <row r="19">
          <cell r="B19">
            <v>13</v>
          </cell>
          <cell r="C19" t="str">
            <v>Drs. AHMAD KHOTIB, M.Pd</v>
          </cell>
          <cell r="D19">
            <v>84.67</v>
          </cell>
          <cell r="E19">
            <v>84</v>
          </cell>
          <cell r="F19" t="str">
            <v>Baik</v>
          </cell>
          <cell r="G19">
            <v>84</v>
          </cell>
          <cell r="H19" t="str">
            <v>Baik</v>
          </cell>
          <cell r="I19">
            <v>92</v>
          </cell>
          <cell r="J19" t="str">
            <v>Sangat Baik</v>
          </cell>
          <cell r="K19">
            <v>84</v>
          </cell>
          <cell r="L19" t="str">
            <v>Baik</v>
          </cell>
          <cell r="M19">
            <v>83</v>
          </cell>
          <cell r="N19" t="str">
            <v>Baik</v>
          </cell>
          <cell r="P19" t="str">
            <v/>
          </cell>
        </row>
        <row r="20">
          <cell r="B20">
            <v>14</v>
          </cell>
          <cell r="C20" t="str">
            <v>SUTAN ASWIN, S.Pd</v>
          </cell>
          <cell r="D20">
            <v>84.920000000000016</v>
          </cell>
          <cell r="E20">
            <v>84</v>
          </cell>
          <cell r="F20" t="str">
            <v>Baik</v>
          </cell>
          <cell r="G20">
            <v>84</v>
          </cell>
          <cell r="H20" t="str">
            <v>Baik</v>
          </cell>
          <cell r="I20">
            <v>92</v>
          </cell>
          <cell r="J20" t="str">
            <v>Sangat Baik</v>
          </cell>
          <cell r="K20">
            <v>84</v>
          </cell>
          <cell r="L20" t="str">
            <v>Baik</v>
          </cell>
          <cell r="M20">
            <v>84</v>
          </cell>
          <cell r="N20" t="str">
            <v>Baik</v>
          </cell>
          <cell r="P20" t="str">
            <v/>
          </cell>
        </row>
        <row r="21">
          <cell r="B21">
            <v>15</v>
          </cell>
          <cell r="C21" t="str">
            <v>Dra. IDA SAIDAH, M.MPd</v>
          </cell>
          <cell r="D21">
            <v>84.77</v>
          </cell>
          <cell r="E21">
            <v>84</v>
          </cell>
          <cell r="F21" t="str">
            <v>Baik</v>
          </cell>
          <cell r="G21">
            <v>83</v>
          </cell>
          <cell r="H21" t="str">
            <v>Baik</v>
          </cell>
          <cell r="I21">
            <v>92</v>
          </cell>
          <cell r="J21" t="str">
            <v>Sangat Baik</v>
          </cell>
          <cell r="K21">
            <v>83</v>
          </cell>
          <cell r="L21" t="str">
            <v>Baik</v>
          </cell>
          <cell r="M21">
            <v>83</v>
          </cell>
          <cell r="N21" t="str">
            <v>Baik</v>
          </cell>
          <cell r="P21" t="str">
            <v/>
          </cell>
        </row>
        <row r="22">
          <cell r="B22">
            <v>16</v>
          </cell>
          <cell r="C22" t="str">
            <v>Dra. Hj. JAMILAH, M.Pd</v>
          </cell>
          <cell r="D22">
            <v>84.69</v>
          </cell>
          <cell r="E22">
            <v>83</v>
          </cell>
          <cell r="F22" t="str">
            <v>Baik</v>
          </cell>
          <cell r="G22">
            <v>83</v>
          </cell>
          <cell r="H22" t="str">
            <v>Baik</v>
          </cell>
          <cell r="I22">
            <v>92</v>
          </cell>
          <cell r="J22" t="str">
            <v>Sangat Baik</v>
          </cell>
          <cell r="K22">
            <v>83</v>
          </cell>
          <cell r="L22" t="str">
            <v>Baik</v>
          </cell>
          <cell r="M22">
            <v>83</v>
          </cell>
          <cell r="N22" t="str">
            <v>Baik</v>
          </cell>
          <cell r="P22" t="str">
            <v/>
          </cell>
        </row>
        <row r="23">
          <cell r="B23">
            <v>17</v>
          </cell>
          <cell r="C23" t="str">
            <v>Dra. Hj. ZURNI ASNIDA</v>
          </cell>
          <cell r="D23">
            <v>84.77</v>
          </cell>
          <cell r="E23">
            <v>84</v>
          </cell>
          <cell r="F23" t="str">
            <v>Baik</v>
          </cell>
          <cell r="G23">
            <v>83</v>
          </cell>
          <cell r="H23" t="str">
            <v>Baik</v>
          </cell>
          <cell r="I23">
            <v>92</v>
          </cell>
          <cell r="J23" t="str">
            <v>Sangat Baik</v>
          </cell>
          <cell r="K23">
            <v>83</v>
          </cell>
          <cell r="L23" t="str">
            <v>Baik</v>
          </cell>
          <cell r="M23">
            <v>83</v>
          </cell>
          <cell r="N23" t="str">
            <v>Baik</v>
          </cell>
          <cell r="P23" t="str">
            <v/>
          </cell>
        </row>
        <row r="24">
          <cell r="B24">
            <v>18</v>
          </cell>
          <cell r="C24" t="str">
            <v>TANTI ASTRIATIE Z, S.Pd, M.Pd</v>
          </cell>
          <cell r="D24">
            <v>83.29</v>
          </cell>
          <cell r="E24">
            <v>80</v>
          </cell>
          <cell r="F24" t="str">
            <v>Baik</v>
          </cell>
          <cell r="G24">
            <v>80</v>
          </cell>
          <cell r="H24" t="str">
            <v>Baik</v>
          </cell>
          <cell r="I24">
            <v>92</v>
          </cell>
          <cell r="J24" t="str">
            <v>Sangat Baik</v>
          </cell>
          <cell r="K24">
            <v>80</v>
          </cell>
          <cell r="L24" t="str">
            <v>Baik</v>
          </cell>
          <cell r="M24">
            <v>80</v>
          </cell>
          <cell r="N24" t="str">
            <v>Baik</v>
          </cell>
          <cell r="P24" t="str">
            <v/>
          </cell>
        </row>
        <row r="25">
          <cell r="B25">
            <v>19</v>
          </cell>
          <cell r="C25" t="str">
            <v>KUSWIYATI, S.Pd, M.Pd</v>
          </cell>
          <cell r="D25">
            <v>83.29</v>
          </cell>
          <cell r="E25">
            <v>81</v>
          </cell>
          <cell r="F25" t="str">
            <v>Baik</v>
          </cell>
          <cell r="G25">
            <v>80</v>
          </cell>
          <cell r="H25" t="str">
            <v>Baik</v>
          </cell>
          <cell r="I25">
            <v>92</v>
          </cell>
          <cell r="J25" t="str">
            <v>Sangat Baik</v>
          </cell>
          <cell r="K25">
            <v>80</v>
          </cell>
          <cell r="L25" t="str">
            <v>Baik</v>
          </cell>
          <cell r="M25">
            <v>80</v>
          </cell>
          <cell r="N25" t="str">
            <v>Baik</v>
          </cell>
          <cell r="P25" t="str">
            <v/>
          </cell>
        </row>
        <row r="26">
          <cell r="B26">
            <v>20</v>
          </cell>
          <cell r="C26" t="str">
            <v>RUSDAH, S.Ag</v>
          </cell>
          <cell r="D26">
            <v>83.53</v>
          </cell>
          <cell r="E26">
            <v>81</v>
          </cell>
          <cell r="F26" t="str">
            <v>Baik</v>
          </cell>
          <cell r="G26">
            <v>81</v>
          </cell>
          <cell r="H26" t="str">
            <v>Baik</v>
          </cell>
          <cell r="I26">
            <v>92</v>
          </cell>
          <cell r="J26" t="str">
            <v>Sangat Baik</v>
          </cell>
          <cell r="K26">
            <v>81</v>
          </cell>
          <cell r="L26" t="str">
            <v>Baik</v>
          </cell>
          <cell r="M26">
            <v>80</v>
          </cell>
          <cell r="N26" t="str">
            <v>Baik</v>
          </cell>
          <cell r="P26" t="str">
            <v/>
          </cell>
        </row>
        <row r="27">
          <cell r="B27">
            <v>21</v>
          </cell>
          <cell r="C27" t="str">
            <v>WAWAN KURNIAWAN, S.Pd, M.Si</v>
          </cell>
          <cell r="D27">
            <v>83.53</v>
          </cell>
          <cell r="E27">
            <v>81</v>
          </cell>
          <cell r="F27" t="str">
            <v>Baik</v>
          </cell>
          <cell r="G27">
            <v>81</v>
          </cell>
          <cell r="H27" t="str">
            <v>Baik</v>
          </cell>
          <cell r="I27">
            <v>92</v>
          </cell>
          <cell r="J27" t="str">
            <v>Sangat Baik</v>
          </cell>
          <cell r="K27">
            <v>81</v>
          </cell>
          <cell r="L27" t="str">
            <v>Baik</v>
          </cell>
          <cell r="M27">
            <v>80</v>
          </cell>
          <cell r="N27" t="str">
            <v>Baik</v>
          </cell>
          <cell r="P27" t="str">
            <v/>
          </cell>
        </row>
        <row r="28">
          <cell r="B28">
            <v>22</v>
          </cell>
          <cell r="C28" t="str">
            <v>MUHAMMAD YUNUS, S.Ag, M.Pd</v>
          </cell>
          <cell r="D28">
            <v>83.210000000000008</v>
          </cell>
          <cell r="E28">
            <v>80</v>
          </cell>
          <cell r="F28" t="str">
            <v>Baik</v>
          </cell>
          <cell r="G28">
            <v>80</v>
          </cell>
          <cell r="H28" t="str">
            <v>Baik</v>
          </cell>
          <cell r="I28">
            <v>92</v>
          </cell>
          <cell r="J28" t="str">
            <v>Sangat Baik</v>
          </cell>
          <cell r="K28">
            <v>80</v>
          </cell>
          <cell r="L28" t="str">
            <v>Baik</v>
          </cell>
          <cell r="M28">
            <v>79</v>
          </cell>
          <cell r="N28" t="str">
            <v>Baik</v>
          </cell>
          <cell r="P28" t="str">
            <v/>
          </cell>
        </row>
        <row r="29">
          <cell r="B29">
            <v>23</v>
          </cell>
          <cell r="C29" t="str">
            <v>Drs. SASTRO JAGO HARTONO</v>
          </cell>
          <cell r="D29">
            <v>83.62</v>
          </cell>
          <cell r="E29">
            <v>81</v>
          </cell>
          <cell r="F29" t="str">
            <v>Baik</v>
          </cell>
          <cell r="G29">
            <v>81</v>
          </cell>
          <cell r="H29" t="str">
            <v>Baik</v>
          </cell>
          <cell r="I29">
            <v>92</v>
          </cell>
          <cell r="J29" t="str">
            <v>Sangat Baik</v>
          </cell>
          <cell r="K29">
            <v>81</v>
          </cell>
          <cell r="L29" t="str">
            <v>Baik</v>
          </cell>
          <cell r="M29">
            <v>80</v>
          </cell>
          <cell r="N29" t="str">
            <v>Baik</v>
          </cell>
          <cell r="P29" t="str">
            <v/>
          </cell>
        </row>
        <row r="30">
          <cell r="B30">
            <v>24</v>
          </cell>
          <cell r="C30" t="str">
            <v>RUSTIATI, S.Pd, M.Pd</v>
          </cell>
          <cell r="D30">
            <v>82.41</v>
          </cell>
          <cell r="E30">
            <v>78</v>
          </cell>
          <cell r="F30" t="str">
            <v>Baik</v>
          </cell>
          <cell r="G30">
            <v>78</v>
          </cell>
          <cell r="H30" t="str">
            <v>Baik</v>
          </cell>
          <cell r="I30">
            <v>91</v>
          </cell>
          <cell r="J30" t="str">
            <v>Sangat Baik</v>
          </cell>
          <cell r="K30">
            <v>77</v>
          </cell>
          <cell r="L30" t="str">
            <v>Baik</v>
          </cell>
          <cell r="M30">
            <v>77</v>
          </cell>
          <cell r="N30" t="str">
            <v>Baik</v>
          </cell>
          <cell r="P30" t="str">
            <v/>
          </cell>
        </row>
        <row r="31">
          <cell r="B31">
            <v>25</v>
          </cell>
          <cell r="C31" t="str">
            <v>SARJONO S.Pd</v>
          </cell>
          <cell r="D31">
            <v>84.570000000000007</v>
          </cell>
          <cell r="E31">
            <v>84</v>
          </cell>
          <cell r="F31" t="str">
            <v>Baik</v>
          </cell>
          <cell r="G31">
            <v>84</v>
          </cell>
          <cell r="H31" t="str">
            <v>Baik</v>
          </cell>
          <cell r="I31">
            <v>92</v>
          </cell>
          <cell r="J31" t="str">
            <v>Sangat Baik</v>
          </cell>
          <cell r="K31">
            <v>84</v>
          </cell>
          <cell r="L31" t="str">
            <v>Baik</v>
          </cell>
          <cell r="M31">
            <v>84</v>
          </cell>
          <cell r="N31" t="str">
            <v>Baik</v>
          </cell>
          <cell r="P31" t="str">
            <v/>
          </cell>
        </row>
        <row r="32">
          <cell r="B32">
            <v>26</v>
          </cell>
          <cell r="C32" t="str">
            <v>Drs. AGUS UTOYO, MM</v>
          </cell>
          <cell r="D32">
            <v>84.25</v>
          </cell>
          <cell r="E32">
            <v>83</v>
          </cell>
          <cell r="F32" t="str">
            <v>Baik</v>
          </cell>
          <cell r="G32">
            <v>83</v>
          </cell>
          <cell r="H32" t="str">
            <v>Baik</v>
          </cell>
          <cell r="I32">
            <v>92</v>
          </cell>
          <cell r="J32" t="str">
            <v>Sangat Baik</v>
          </cell>
          <cell r="K32">
            <v>83</v>
          </cell>
          <cell r="L32" t="str">
            <v>Baik</v>
          </cell>
          <cell r="M32">
            <v>83</v>
          </cell>
          <cell r="N32" t="str">
            <v>Baik</v>
          </cell>
          <cell r="P32" t="str">
            <v/>
          </cell>
        </row>
        <row r="33">
          <cell r="B33">
            <v>27</v>
          </cell>
          <cell r="C33" t="str">
            <v>MARWI, S.Pd.I</v>
          </cell>
          <cell r="D33">
            <v>84.33</v>
          </cell>
          <cell r="E33">
            <v>84</v>
          </cell>
          <cell r="F33" t="str">
            <v>Baik</v>
          </cell>
          <cell r="G33">
            <v>83</v>
          </cell>
          <cell r="H33" t="str">
            <v>Baik</v>
          </cell>
          <cell r="I33">
            <v>92</v>
          </cell>
          <cell r="J33" t="str">
            <v>Sangat Baik</v>
          </cell>
          <cell r="K33">
            <v>83</v>
          </cell>
          <cell r="L33" t="str">
            <v>Baik</v>
          </cell>
          <cell r="M33">
            <v>83</v>
          </cell>
          <cell r="N33" t="str">
            <v>Baik</v>
          </cell>
          <cell r="P33" t="str">
            <v/>
          </cell>
        </row>
        <row r="34">
          <cell r="B34">
            <v>28</v>
          </cell>
          <cell r="C34" t="str">
            <v>SUHARTONO, S.Pd</v>
          </cell>
          <cell r="D34">
            <v>81.11</v>
          </cell>
          <cell r="E34">
            <v>81</v>
          </cell>
          <cell r="F34" t="str">
            <v>Baik</v>
          </cell>
          <cell r="G34">
            <v>80</v>
          </cell>
          <cell r="H34" t="str">
            <v>Baik</v>
          </cell>
          <cell r="I34">
            <v>91</v>
          </cell>
          <cell r="J34" t="str">
            <v>Sangat Baik</v>
          </cell>
          <cell r="K34">
            <v>80</v>
          </cell>
          <cell r="L34" t="str">
            <v>Baik</v>
          </cell>
          <cell r="M34">
            <v>80</v>
          </cell>
          <cell r="N34" t="str">
            <v>Baik</v>
          </cell>
          <cell r="P34" t="str">
            <v/>
          </cell>
        </row>
        <row r="35">
          <cell r="B35">
            <v>29</v>
          </cell>
          <cell r="C35" t="str">
            <v>EUIS KURAISIN, M.Pd</v>
          </cell>
          <cell r="D35">
            <v>81.06</v>
          </cell>
          <cell r="E35">
            <v>79</v>
          </cell>
          <cell r="F35" t="str">
            <v>Baik</v>
          </cell>
          <cell r="G35">
            <v>78</v>
          </cell>
          <cell r="H35" t="str">
            <v>Baik</v>
          </cell>
          <cell r="I35">
            <v>91</v>
          </cell>
          <cell r="J35" t="str">
            <v>Sangat Baik</v>
          </cell>
          <cell r="K35">
            <v>78</v>
          </cell>
          <cell r="L35" t="str">
            <v>Baik</v>
          </cell>
          <cell r="M35">
            <v>78</v>
          </cell>
          <cell r="N35" t="str">
            <v>Baik</v>
          </cell>
          <cell r="P35" t="str">
            <v/>
          </cell>
        </row>
        <row r="36">
          <cell r="B36">
            <v>30</v>
          </cell>
          <cell r="C36" t="str">
            <v>Dra. Hj. NUROZIAH</v>
          </cell>
          <cell r="D36">
            <v>83</v>
          </cell>
          <cell r="E36">
            <v>86</v>
          </cell>
          <cell r="F36" t="str">
            <v>Baik</v>
          </cell>
          <cell r="G36">
            <v>86</v>
          </cell>
          <cell r="H36" t="str">
            <v>Baik</v>
          </cell>
          <cell r="I36">
            <v>91</v>
          </cell>
          <cell r="J36" t="str">
            <v>Sangat Baik</v>
          </cell>
          <cell r="K36">
            <v>85</v>
          </cell>
          <cell r="L36" t="str">
            <v>Baik</v>
          </cell>
          <cell r="M36">
            <v>85</v>
          </cell>
          <cell r="N36" t="str">
            <v>Baik</v>
          </cell>
          <cell r="P36" t="str">
            <v/>
          </cell>
        </row>
        <row r="37">
          <cell r="B37" t="str">
            <v/>
          </cell>
          <cell r="C37" t="str">
            <v/>
          </cell>
          <cell r="F37" t="str">
            <v/>
          </cell>
          <cell r="H37" t="str">
            <v/>
          </cell>
          <cell r="J37" t="str">
            <v/>
          </cell>
          <cell r="L37" t="str">
            <v/>
          </cell>
          <cell r="N37" t="str">
            <v/>
          </cell>
          <cell r="P37" t="str">
            <v/>
          </cell>
        </row>
        <row r="38">
          <cell r="B38" t="str">
            <v/>
          </cell>
          <cell r="C38" t="str">
            <v/>
          </cell>
          <cell r="F38" t="str">
            <v/>
          </cell>
          <cell r="H38" t="str">
            <v/>
          </cell>
          <cell r="J38" t="str">
            <v/>
          </cell>
          <cell r="L38" t="str">
            <v/>
          </cell>
          <cell r="N38" t="str">
            <v/>
          </cell>
          <cell r="P38" t="str">
            <v/>
          </cell>
        </row>
        <row r="39">
          <cell r="B39" t="str">
            <v/>
          </cell>
          <cell r="C39" t="str">
            <v/>
          </cell>
          <cell r="F39" t="str">
            <v/>
          </cell>
          <cell r="H39" t="str">
            <v/>
          </cell>
          <cell r="J39" t="str">
            <v/>
          </cell>
          <cell r="L39" t="str">
            <v/>
          </cell>
          <cell r="N39" t="str">
            <v/>
          </cell>
          <cell r="P39" t="str">
            <v/>
          </cell>
        </row>
        <row r="40">
          <cell r="B40" t="str">
            <v/>
          </cell>
          <cell r="C40" t="str">
            <v/>
          </cell>
          <cell r="F40" t="str">
            <v/>
          </cell>
          <cell r="H40" t="str">
            <v/>
          </cell>
          <cell r="J40" t="str">
            <v/>
          </cell>
          <cell r="L40" t="str">
            <v/>
          </cell>
          <cell r="N40" t="str">
            <v/>
          </cell>
          <cell r="P40" t="str">
            <v/>
          </cell>
        </row>
        <row r="41">
          <cell r="B41" t="str">
            <v/>
          </cell>
          <cell r="C41" t="str">
            <v/>
          </cell>
          <cell r="F41" t="str">
            <v/>
          </cell>
          <cell r="H41" t="str">
            <v/>
          </cell>
          <cell r="J41" t="str">
            <v/>
          </cell>
          <cell r="L41" t="str">
            <v/>
          </cell>
          <cell r="N41" t="str">
            <v/>
          </cell>
          <cell r="P41" t="str">
            <v/>
          </cell>
        </row>
        <row r="42">
          <cell r="B42" t="str">
            <v/>
          </cell>
          <cell r="C42" t="str">
            <v/>
          </cell>
          <cell r="F42" t="str">
            <v/>
          </cell>
          <cell r="H42" t="str">
            <v/>
          </cell>
          <cell r="J42" t="str">
            <v/>
          </cell>
          <cell r="L42" t="str">
            <v/>
          </cell>
          <cell r="N42" t="str">
            <v/>
          </cell>
          <cell r="P42" t="str">
            <v/>
          </cell>
        </row>
        <row r="43">
          <cell r="B43" t="str">
            <v/>
          </cell>
          <cell r="C43" t="str">
            <v/>
          </cell>
          <cell r="F43" t="str">
            <v/>
          </cell>
          <cell r="H43" t="str">
            <v/>
          </cell>
          <cell r="J43" t="str">
            <v/>
          </cell>
          <cell r="L43" t="str">
            <v/>
          </cell>
          <cell r="N43" t="str">
            <v/>
          </cell>
          <cell r="P43" t="str">
            <v/>
          </cell>
        </row>
        <row r="44">
          <cell r="B44" t="str">
            <v/>
          </cell>
          <cell r="C44" t="str">
            <v/>
          </cell>
          <cell r="F44" t="str">
            <v/>
          </cell>
          <cell r="H44" t="str">
            <v/>
          </cell>
          <cell r="J44" t="str">
            <v/>
          </cell>
          <cell r="L44" t="str">
            <v/>
          </cell>
          <cell r="N44" t="str">
            <v/>
          </cell>
          <cell r="P44" t="str">
            <v/>
          </cell>
        </row>
        <row r="45">
          <cell r="B45" t="str">
            <v/>
          </cell>
          <cell r="C45" t="str">
            <v/>
          </cell>
          <cell r="F45" t="str">
            <v/>
          </cell>
          <cell r="H45" t="str">
            <v/>
          </cell>
          <cell r="J45" t="str">
            <v/>
          </cell>
          <cell r="L45" t="str">
            <v/>
          </cell>
          <cell r="N45" t="str">
            <v/>
          </cell>
          <cell r="P45" t="str">
            <v/>
          </cell>
        </row>
        <row r="46">
          <cell r="B46" t="str">
            <v/>
          </cell>
          <cell r="C46" t="str">
            <v/>
          </cell>
          <cell r="F46" t="str">
            <v/>
          </cell>
          <cell r="H46" t="str">
            <v/>
          </cell>
          <cell r="J46" t="str">
            <v/>
          </cell>
          <cell r="L46" t="str">
            <v/>
          </cell>
          <cell r="N46" t="str">
            <v/>
          </cell>
          <cell r="P46" t="str">
            <v/>
          </cell>
        </row>
        <row r="47">
          <cell r="B47" t="str">
            <v/>
          </cell>
          <cell r="C47" t="str">
            <v/>
          </cell>
          <cell r="F47" t="str">
            <v/>
          </cell>
          <cell r="H47" t="str">
            <v/>
          </cell>
          <cell r="J47" t="str">
            <v/>
          </cell>
          <cell r="L47" t="str">
            <v/>
          </cell>
          <cell r="N47" t="str">
            <v/>
          </cell>
          <cell r="P47" t="str">
            <v/>
          </cell>
        </row>
        <row r="48">
          <cell r="B48" t="str">
            <v/>
          </cell>
          <cell r="C48" t="str">
            <v/>
          </cell>
          <cell r="F48" t="str">
            <v/>
          </cell>
          <cell r="H48" t="str">
            <v/>
          </cell>
          <cell r="J48" t="str">
            <v/>
          </cell>
          <cell r="L48" t="str">
            <v/>
          </cell>
          <cell r="N48" t="str">
            <v/>
          </cell>
          <cell r="P48" t="str">
            <v/>
          </cell>
        </row>
        <row r="49">
          <cell r="B49" t="str">
            <v/>
          </cell>
          <cell r="C49" t="str">
            <v/>
          </cell>
          <cell r="F49" t="str">
            <v/>
          </cell>
          <cell r="H49" t="str">
            <v/>
          </cell>
          <cell r="J49" t="str">
            <v/>
          </cell>
          <cell r="L49" t="str">
            <v/>
          </cell>
          <cell r="N49" t="str">
            <v/>
          </cell>
          <cell r="P49" t="str">
            <v/>
          </cell>
        </row>
        <row r="50">
          <cell r="B50" t="str">
            <v/>
          </cell>
          <cell r="C50" t="str">
            <v/>
          </cell>
          <cell r="F50" t="str">
            <v/>
          </cell>
          <cell r="H50" t="str">
            <v/>
          </cell>
          <cell r="J50" t="str">
            <v/>
          </cell>
          <cell r="L50" t="str">
            <v/>
          </cell>
          <cell r="N50" t="str">
            <v/>
          </cell>
          <cell r="P50" t="str">
            <v/>
          </cell>
        </row>
        <row r="51">
          <cell r="B51" t="str">
            <v/>
          </cell>
          <cell r="C51" t="str">
            <v/>
          </cell>
          <cell r="F51" t="str">
            <v/>
          </cell>
          <cell r="H51" t="str">
            <v/>
          </cell>
          <cell r="J51" t="str">
            <v/>
          </cell>
          <cell r="L51" t="str">
            <v/>
          </cell>
          <cell r="N51" t="str">
            <v/>
          </cell>
          <cell r="P51" t="str">
            <v/>
          </cell>
        </row>
        <row r="52">
          <cell r="B52" t="str">
            <v/>
          </cell>
          <cell r="C52" t="str">
            <v/>
          </cell>
          <cell r="F52" t="str">
            <v/>
          </cell>
          <cell r="H52" t="str">
            <v/>
          </cell>
          <cell r="J52" t="str">
            <v/>
          </cell>
          <cell r="L52" t="str">
            <v/>
          </cell>
          <cell r="N52" t="str">
            <v/>
          </cell>
          <cell r="P52" t="str">
            <v/>
          </cell>
        </row>
        <row r="53">
          <cell r="B53" t="str">
            <v/>
          </cell>
          <cell r="C53" t="str">
            <v/>
          </cell>
          <cell r="F53" t="str">
            <v/>
          </cell>
          <cell r="H53" t="str">
            <v/>
          </cell>
          <cell r="J53" t="str">
            <v/>
          </cell>
          <cell r="L53" t="str">
            <v/>
          </cell>
          <cell r="N53" t="str">
            <v/>
          </cell>
          <cell r="P53" t="str">
            <v/>
          </cell>
        </row>
        <row r="54">
          <cell r="B54" t="str">
            <v/>
          </cell>
          <cell r="C54" t="str">
            <v/>
          </cell>
          <cell r="F54" t="str">
            <v/>
          </cell>
          <cell r="H54" t="str">
            <v/>
          </cell>
          <cell r="J54" t="str">
            <v/>
          </cell>
          <cell r="L54" t="str">
            <v/>
          </cell>
          <cell r="N54" t="str">
            <v/>
          </cell>
          <cell r="P54" t="str">
            <v/>
          </cell>
        </row>
        <row r="55">
          <cell r="B55" t="str">
            <v/>
          </cell>
          <cell r="C55" t="str">
            <v/>
          </cell>
          <cell r="F55" t="str">
            <v/>
          </cell>
          <cell r="H55" t="str">
            <v/>
          </cell>
          <cell r="J55" t="str">
            <v/>
          </cell>
          <cell r="L55" t="str">
            <v/>
          </cell>
          <cell r="N55" t="str">
            <v/>
          </cell>
          <cell r="P55" t="str">
            <v/>
          </cell>
        </row>
        <row r="56">
          <cell r="B56" t="str">
            <v/>
          </cell>
          <cell r="C56" t="str">
            <v/>
          </cell>
          <cell r="F56" t="str">
            <v/>
          </cell>
          <cell r="H56" t="str">
            <v/>
          </cell>
          <cell r="J56" t="str">
            <v/>
          </cell>
          <cell r="L56" t="str">
            <v/>
          </cell>
          <cell r="N56" t="str">
            <v/>
          </cell>
          <cell r="P56" t="str">
            <v/>
          </cell>
        </row>
        <row r="57">
          <cell r="B57" t="str">
            <v/>
          </cell>
          <cell r="C57" t="str">
            <v/>
          </cell>
          <cell r="F57" t="str">
            <v/>
          </cell>
          <cell r="H57" t="str">
            <v/>
          </cell>
          <cell r="J57" t="str">
            <v/>
          </cell>
          <cell r="L57" t="str">
            <v/>
          </cell>
          <cell r="N57" t="str">
            <v/>
          </cell>
          <cell r="P57" t="str">
            <v/>
          </cell>
        </row>
        <row r="58">
          <cell r="B58" t="str">
            <v/>
          </cell>
          <cell r="C58" t="str">
            <v/>
          </cell>
          <cell r="F58" t="str">
            <v/>
          </cell>
          <cell r="H58" t="str">
            <v/>
          </cell>
          <cell r="J58" t="str">
            <v/>
          </cell>
          <cell r="L58" t="str">
            <v/>
          </cell>
          <cell r="N58" t="str">
            <v/>
          </cell>
          <cell r="P58" t="str">
            <v/>
          </cell>
        </row>
        <row r="59">
          <cell r="B59" t="str">
            <v/>
          </cell>
          <cell r="C59" t="str">
            <v/>
          </cell>
          <cell r="F59" t="str">
            <v/>
          </cell>
          <cell r="H59" t="str">
            <v/>
          </cell>
          <cell r="J59" t="str">
            <v/>
          </cell>
          <cell r="L59" t="str">
            <v/>
          </cell>
          <cell r="N59" t="str">
            <v/>
          </cell>
          <cell r="P59" t="str">
            <v/>
          </cell>
        </row>
        <row r="60">
          <cell r="B60" t="str">
            <v/>
          </cell>
          <cell r="C60" t="str">
            <v/>
          </cell>
          <cell r="F60" t="str">
            <v/>
          </cell>
          <cell r="H60" t="str">
            <v/>
          </cell>
          <cell r="J60" t="str">
            <v/>
          </cell>
          <cell r="L60" t="str">
            <v/>
          </cell>
          <cell r="N60" t="str">
            <v/>
          </cell>
          <cell r="P60" t="str">
            <v/>
          </cell>
        </row>
        <row r="61">
          <cell r="B61" t="str">
            <v/>
          </cell>
          <cell r="C61" t="str">
            <v/>
          </cell>
          <cell r="F61" t="str">
            <v/>
          </cell>
          <cell r="H61" t="str">
            <v/>
          </cell>
          <cell r="J61" t="str">
            <v/>
          </cell>
          <cell r="L61" t="str">
            <v/>
          </cell>
          <cell r="N61" t="str">
            <v/>
          </cell>
          <cell r="P61" t="str">
            <v/>
          </cell>
        </row>
        <row r="62">
          <cell r="B62" t="str">
            <v/>
          </cell>
          <cell r="C62" t="str">
            <v/>
          </cell>
          <cell r="F62" t="str">
            <v/>
          </cell>
          <cell r="H62" t="str">
            <v/>
          </cell>
          <cell r="J62" t="str">
            <v/>
          </cell>
          <cell r="L62" t="str">
            <v/>
          </cell>
          <cell r="N62" t="str">
            <v/>
          </cell>
          <cell r="P62" t="str">
            <v/>
          </cell>
        </row>
        <row r="63">
          <cell r="B63" t="str">
            <v/>
          </cell>
          <cell r="C63" t="str">
            <v/>
          </cell>
          <cell r="F63" t="str">
            <v/>
          </cell>
          <cell r="H63" t="str">
            <v/>
          </cell>
          <cell r="J63" t="str">
            <v/>
          </cell>
          <cell r="L63" t="str">
            <v/>
          </cell>
          <cell r="N63" t="str">
            <v/>
          </cell>
          <cell r="P63" t="str">
            <v/>
          </cell>
        </row>
        <row r="64">
          <cell r="B64" t="str">
            <v/>
          </cell>
          <cell r="C64" t="str">
            <v/>
          </cell>
          <cell r="F64" t="str">
            <v/>
          </cell>
          <cell r="H64" t="str">
            <v/>
          </cell>
          <cell r="J64" t="str">
            <v/>
          </cell>
          <cell r="L64" t="str">
            <v/>
          </cell>
          <cell r="N64" t="str">
            <v/>
          </cell>
          <cell r="P64" t="str">
            <v/>
          </cell>
        </row>
        <row r="65">
          <cell r="B65" t="str">
            <v/>
          </cell>
          <cell r="C65" t="str">
            <v/>
          </cell>
          <cell r="F65" t="str">
            <v/>
          </cell>
          <cell r="H65" t="str">
            <v/>
          </cell>
          <cell r="J65" t="str">
            <v/>
          </cell>
          <cell r="L65" t="str">
            <v/>
          </cell>
          <cell r="N65" t="str">
            <v/>
          </cell>
          <cell r="P65" t="str">
            <v/>
          </cell>
        </row>
        <row r="66">
          <cell r="B66" t="str">
            <v/>
          </cell>
          <cell r="C66" t="str">
            <v/>
          </cell>
          <cell r="F66" t="str">
            <v/>
          </cell>
          <cell r="H66" t="str">
            <v/>
          </cell>
          <cell r="J66" t="str">
            <v/>
          </cell>
          <cell r="L66" t="str">
            <v/>
          </cell>
          <cell r="N66" t="str">
            <v/>
          </cell>
          <cell r="P66" t="str">
            <v/>
          </cell>
        </row>
        <row r="67">
          <cell r="B67" t="str">
            <v/>
          </cell>
          <cell r="C67" t="str">
            <v/>
          </cell>
          <cell r="F67" t="str">
            <v/>
          </cell>
          <cell r="H67" t="str">
            <v/>
          </cell>
          <cell r="J67" t="str">
            <v/>
          </cell>
          <cell r="L67" t="str">
            <v/>
          </cell>
          <cell r="N67" t="str">
            <v/>
          </cell>
          <cell r="P67" t="str">
            <v/>
          </cell>
        </row>
        <row r="68">
          <cell r="B68" t="str">
            <v/>
          </cell>
          <cell r="C68" t="str">
            <v/>
          </cell>
          <cell r="F68" t="str">
            <v/>
          </cell>
          <cell r="H68" t="str">
            <v/>
          </cell>
          <cell r="J68" t="str">
            <v/>
          </cell>
          <cell r="L68" t="str">
            <v/>
          </cell>
          <cell r="N68" t="str">
            <v/>
          </cell>
          <cell r="P68" t="str">
            <v/>
          </cell>
        </row>
        <row r="69">
          <cell r="B69" t="str">
            <v/>
          </cell>
          <cell r="C69" t="str">
            <v/>
          </cell>
          <cell r="F69" t="str">
            <v/>
          </cell>
          <cell r="H69" t="str">
            <v/>
          </cell>
          <cell r="J69" t="str">
            <v/>
          </cell>
          <cell r="L69" t="str">
            <v/>
          </cell>
          <cell r="N69" t="str">
            <v/>
          </cell>
          <cell r="P69" t="str">
            <v/>
          </cell>
        </row>
        <row r="70">
          <cell r="B70" t="str">
            <v/>
          </cell>
          <cell r="C70" t="str">
            <v/>
          </cell>
          <cell r="F70" t="str">
            <v/>
          </cell>
          <cell r="H70" t="str">
            <v/>
          </cell>
          <cell r="J70" t="str">
            <v/>
          </cell>
          <cell r="L70" t="str">
            <v/>
          </cell>
          <cell r="N70" t="str">
            <v/>
          </cell>
          <cell r="P70" t="str">
            <v/>
          </cell>
        </row>
        <row r="71">
          <cell r="B71" t="str">
            <v/>
          </cell>
          <cell r="C71" t="str">
            <v/>
          </cell>
          <cell r="F71" t="str">
            <v/>
          </cell>
          <cell r="H71" t="str">
            <v/>
          </cell>
          <cell r="J71" t="str">
            <v/>
          </cell>
          <cell r="L71" t="str">
            <v/>
          </cell>
          <cell r="N71" t="str">
            <v/>
          </cell>
          <cell r="P71" t="str">
            <v/>
          </cell>
        </row>
        <row r="72">
          <cell r="B72" t="str">
            <v/>
          </cell>
          <cell r="C72" t="str">
            <v/>
          </cell>
          <cell r="F72" t="str">
            <v/>
          </cell>
          <cell r="H72" t="str">
            <v/>
          </cell>
          <cell r="J72" t="str">
            <v/>
          </cell>
          <cell r="L72" t="str">
            <v/>
          </cell>
          <cell r="N72" t="str">
            <v/>
          </cell>
          <cell r="P72" t="str">
            <v/>
          </cell>
        </row>
        <row r="73">
          <cell r="B73" t="str">
            <v/>
          </cell>
          <cell r="C73" t="str">
            <v/>
          </cell>
          <cell r="F73" t="str">
            <v/>
          </cell>
          <cell r="H73" t="str">
            <v/>
          </cell>
          <cell r="J73" t="str">
            <v/>
          </cell>
          <cell r="L73" t="str">
            <v/>
          </cell>
          <cell r="N73" t="str">
            <v/>
          </cell>
          <cell r="P73" t="str">
            <v/>
          </cell>
        </row>
        <row r="74">
          <cell r="B74" t="str">
            <v/>
          </cell>
          <cell r="C74" t="str">
            <v/>
          </cell>
          <cell r="F74" t="str">
            <v/>
          </cell>
          <cell r="H74" t="str">
            <v/>
          </cell>
          <cell r="J74" t="str">
            <v/>
          </cell>
          <cell r="L74" t="str">
            <v/>
          </cell>
          <cell r="N74" t="str">
            <v/>
          </cell>
          <cell r="P74" t="str">
            <v/>
          </cell>
        </row>
        <row r="75">
          <cell r="B75" t="str">
            <v/>
          </cell>
          <cell r="C75" t="str">
            <v/>
          </cell>
          <cell r="F75" t="str">
            <v/>
          </cell>
          <cell r="H75" t="str">
            <v/>
          </cell>
          <cell r="J75" t="str">
            <v/>
          </cell>
          <cell r="L75" t="str">
            <v/>
          </cell>
          <cell r="N75" t="str">
            <v/>
          </cell>
          <cell r="P75" t="str">
            <v/>
          </cell>
        </row>
        <row r="76">
          <cell r="B76" t="str">
            <v/>
          </cell>
          <cell r="C76" t="str">
            <v/>
          </cell>
          <cell r="F76" t="str">
            <v/>
          </cell>
          <cell r="H76" t="str">
            <v/>
          </cell>
          <cell r="J76" t="str">
            <v/>
          </cell>
          <cell r="L76" t="str">
            <v/>
          </cell>
          <cell r="N76" t="str">
            <v/>
          </cell>
          <cell r="P76" t="str">
            <v/>
          </cell>
        </row>
        <row r="77">
          <cell r="B77" t="str">
            <v/>
          </cell>
          <cell r="C77" t="str">
            <v/>
          </cell>
          <cell r="F77" t="str">
            <v/>
          </cell>
          <cell r="H77" t="str">
            <v/>
          </cell>
          <cell r="J77" t="str">
            <v/>
          </cell>
          <cell r="L77" t="str">
            <v/>
          </cell>
          <cell r="N77" t="str">
            <v/>
          </cell>
          <cell r="P77" t="str">
            <v/>
          </cell>
        </row>
        <row r="78">
          <cell r="B78" t="str">
            <v/>
          </cell>
          <cell r="C78" t="str">
            <v/>
          </cell>
          <cell r="F78" t="str">
            <v/>
          </cell>
          <cell r="H78" t="str">
            <v/>
          </cell>
          <cell r="J78" t="str">
            <v/>
          </cell>
          <cell r="L78" t="str">
            <v/>
          </cell>
          <cell r="N78" t="str">
            <v/>
          </cell>
          <cell r="P78" t="str">
            <v/>
          </cell>
        </row>
        <row r="79">
          <cell r="B79" t="str">
            <v/>
          </cell>
          <cell r="C79" t="str">
            <v/>
          </cell>
          <cell r="F79" t="str">
            <v/>
          </cell>
          <cell r="H79" t="str">
            <v/>
          </cell>
          <cell r="J79" t="str">
            <v/>
          </cell>
          <cell r="L79" t="str">
            <v/>
          </cell>
          <cell r="N79" t="str">
            <v/>
          </cell>
          <cell r="P79" t="str">
            <v/>
          </cell>
        </row>
        <row r="80">
          <cell r="B80" t="str">
            <v/>
          </cell>
          <cell r="C80" t="str">
            <v/>
          </cell>
          <cell r="F80" t="str">
            <v/>
          </cell>
          <cell r="H80" t="str">
            <v/>
          </cell>
          <cell r="J80" t="str">
            <v/>
          </cell>
          <cell r="L80" t="str">
            <v/>
          </cell>
          <cell r="N80" t="str">
            <v/>
          </cell>
          <cell r="P80" t="str">
            <v/>
          </cell>
        </row>
        <row r="81">
          <cell r="B81" t="str">
            <v/>
          </cell>
          <cell r="C81" t="str">
            <v/>
          </cell>
          <cell r="F81" t="str">
            <v/>
          </cell>
          <cell r="H81" t="str">
            <v/>
          </cell>
          <cell r="J81" t="str">
            <v/>
          </cell>
          <cell r="L81" t="str">
            <v/>
          </cell>
          <cell r="N81" t="str">
            <v/>
          </cell>
          <cell r="P81" t="str">
            <v/>
          </cell>
        </row>
        <row r="82">
          <cell r="B82" t="str">
            <v/>
          </cell>
          <cell r="C82" t="str">
            <v/>
          </cell>
          <cell r="F82" t="str">
            <v/>
          </cell>
          <cell r="H82" t="str">
            <v/>
          </cell>
          <cell r="J82" t="str">
            <v/>
          </cell>
          <cell r="L82" t="str">
            <v/>
          </cell>
          <cell r="N82" t="str">
            <v/>
          </cell>
          <cell r="P82" t="str">
            <v/>
          </cell>
        </row>
        <row r="83">
          <cell r="B83" t="str">
            <v/>
          </cell>
          <cell r="C83" t="str">
            <v/>
          </cell>
          <cell r="F83" t="str">
            <v/>
          </cell>
          <cell r="H83" t="str">
            <v/>
          </cell>
          <cell r="J83" t="str">
            <v/>
          </cell>
          <cell r="L83" t="str">
            <v/>
          </cell>
          <cell r="N83" t="str">
            <v/>
          </cell>
          <cell r="P83" t="str">
            <v/>
          </cell>
        </row>
        <row r="84">
          <cell r="B84" t="str">
            <v/>
          </cell>
          <cell r="C84" t="str">
            <v/>
          </cell>
          <cell r="F84" t="str">
            <v/>
          </cell>
          <cell r="H84" t="str">
            <v/>
          </cell>
          <cell r="J84" t="str">
            <v/>
          </cell>
          <cell r="L84" t="str">
            <v/>
          </cell>
          <cell r="N84" t="str">
            <v/>
          </cell>
          <cell r="P84" t="str">
            <v/>
          </cell>
        </row>
        <row r="85">
          <cell r="B85" t="str">
            <v/>
          </cell>
          <cell r="C85" t="str">
            <v/>
          </cell>
          <cell r="F85" t="str">
            <v/>
          </cell>
          <cell r="H85" t="str">
            <v/>
          </cell>
          <cell r="J85" t="str">
            <v/>
          </cell>
          <cell r="L85" t="str">
            <v/>
          </cell>
          <cell r="N85" t="str">
            <v/>
          </cell>
          <cell r="P85" t="str">
            <v/>
          </cell>
        </row>
        <row r="86">
          <cell r="B86" t="str">
            <v/>
          </cell>
          <cell r="C86" t="str">
            <v/>
          </cell>
          <cell r="F86" t="str">
            <v/>
          </cell>
          <cell r="H86" t="str">
            <v/>
          </cell>
          <cell r="J86" t="str">
            <v/>
          </cell>
          <cell r="L86" t="str">
            <v/>
          </cell>
          <cell r="N86" t="str">
            <v/>
          </cell>
          <cell r="P86" t="str">
            <v/>
          </cell>
        </row>
        <row r="87">
          <cell r="B87" t="str">
            <v/>
          </cell>
          <cell r="C87" t="str">
            <v/>
          </cell>
          <cell r="F87" t="str">
            <v/>
          </cell>
          <cell r="H87" t="str">
            <v/>
          </cell>
          <cell r="J87" t="str">
            <v/>
          </cell>
          <cell r="L87" t="str">
            <v/>
          </cell>
          <cell r="N87" t="str">
            <v/>
          </cell>
          <cell r="P87" t="str">
            <v/>
          </cell>
        </row>
        <row r="88">
          <cell r="B88" t="str">
            <v/>
          </cell>
          <cell r="C88" t="str">
            <v/>
          </cell>
          <cell r="F88" t="str">
            <v/>
          </cell>
          <cell r="H88" t="str">
            <v/>
          </cell>
          <cell r="J88" t="str">
            <v/>
          </cell>
          <cell r="L88" t="str">
            <v/>
          </cell>
          <cell r="N88" t="str">
            <v/>
          </cell>
          <cell r="P88" t="str">
            <v/>
          </cell>
        </row>
        <row r="89">
          <cell r="B89" t="str">
            <v/>
          </cell>
          <cell r="C89" t="str">
            <v/>
          </cell>
          <cell r="F89" t="str">
            <v/>
          </cell>
          <cell r="H89" t="str">
            <v/>
          </cell>
          <cell r="J89" t="str">
            <v/>
          </cell>
          <cell r="L89" t="str">
            <v/>
          </cell>
          <cell r="N89" t="str">
            <v/>
          </cell>
          <cell r="P89" t="str">
            <v/>
          </cell>
        </row>
        <row r="90">
          <cell r="B90" t="str">
            <v/>
          </cell>
          <cell r="C90" t="str">
            <v/>
          </cell>
          <cell r="F90" t="str">
            <v/>
          </cell>
          <cell r="H90" t="str">
            <v/>
          </cell>
          <cell r="J90" t="str">
            <v/>
          </cell>
          <cell r="L90" t="str">
            <v/>
          </cell>
          <cell r="N90" t="str">
            <v/>
          </cell>
          <cell r="P90" t="str">
            <v/>
          </cell>
        </row>
        <row r="91">
          <cell r="B91" t="str">
            <v/>
          </cell>
          <cell r="C91" t="str">
            <v/>
          </cell>
          <cell r="F91" t="str">
            <v/>
          </cell>
          <cell r="H91" t="str">
            <v/>
          </cell>
          <cell r="J91" t="str">
            <v/>
          </cell>
          <cell r="L91" t="str">
            <v/>
          </cell>
          <cell r="N91" t="str">
            <v/>
          </cell>
          <cell r="P91" t="str">
            <v/>
          </cell>
        </row>
        <row r="92">
          <cell r="B92" t="str">
            <v/>
          </cell>
          <cell r="C92" t="str">
            <v/>
          </cell>
          <cell r="F92" t="str">
            <v/>
          </cell>
          <cell r="H92" t="str">
            <v/>
          </cell>
          <cell r="J92" t="str">
            <v/>
          </cell>
          <cell r="L92" t="str">
            <v/>
          </cell>
          <cell r="N92" t="str">
            <v/>
          </cell>
          <cell r="P92" t="str">
            <v/>
          </cell>
        </row>
        <row r="93">
          <cell r="B93" t="str">
            <v/>
          </cell>
          <cell r="C93" t="str">
            <v/>
          </cell>
          <cell r="F93" t="str">
            <v/>
          </cell>
          <cell r="H93" t="str">
            <v/>
          </cell>
          <cell r="J93" t="str">
            <v/>
          </cell>
          <cell r="L93" t="str">
            <v/>
          </cell>
          <cell r="N93" t="str">
            <v/>
          </cell>
          <cell r="P93" t="str">
            <v/>
          </cell>
        </row>
        <row r="94">
          <cell r="B94" t="str">
            <v/>
          </cell>
          <cell r="C94" t="str">
            <v/>
          </cell>
          <cell r="F94" t="str">
            <v/>
          </cell>
          <cell r="H94" t="str">
            <v/>
          </cell>
          <cell r="J94" t="str">
            <v/>
          </cell>
          <cell r="L94" t="str">
            <v/>
          </cell>
          <cell r="N94" t="str">
            <v/>
          </cell>
          <cell r="P94" t="str">
            <v/>
          </cell>
        </row>
        <row r="95">
          <cell r="B95" t="str">
            <v/>
          </cell>
          <cell r="C95" t="str">
            <v/>
          </cell>
          <cell r="F95" t="str">
            <v/>
          </cell>
          <cell r="H95" t="str">
            <v/>
          </cell>
          <cell r="J95" t="str">
            <v/>
          </cell>
          <cell r="L95" t="str">
            <v/>
          </cell>
          <cell r="N95" t="str">
            <v/>
          </cell>
          <cell r="P95" t="str">
            <v/>
          </cell>
        </row>
        <row r="96">
          <cell r="B96" t="str">
            <v/>
          </cell>
          <cell r="C96" t="str">
            <v/>
          </cell>
          <cell r="F96" t="str">
            <v/>
          </cell>
          <cell r="H96" t="str">
            <v/>
          </cell>
          <cell r="J96" t="str">
            <v/>
          </cell>
          <cell r="L96" t="str">
            <v/>
          </cell>
          <cell r="N96" t="str">
            <v/>
          </cell>
          <cell r="P96" t="str">
            <v/>
          </cell>
        </row>
        <row r="97">
          <cell r="B97" t="str">
            <v/>
          </cell>
          <cell r="C97" t="str">
            <v/>
          </cell>
          <cell r="F97" t="str">
            <v/>
          </cell>
          <cell r="H97" t="str">
            <v/>
          </cell>
          <cell r="J97" t="str">
            <v/>
          </cell>
          <cell r="L97" t="str">
            <v/>
          </cell>
          <cell r="N97" t="str">
            <v/>
          </cell>
          <cell r="P97" t="str">
            <v/>
          </cell>
        </row>
        <row r="98">
          <cell r="B98" t="str">
            <v/>
          </cell>
          <cell r="C98" t="str">
            <v/>
          </cell>
          <cell r="F98" t="str">
            <v/>
          </cell>
          <cell r="H98" t="str">
            <v/>
          </cell>
          <cell r="J98" t="str">
            <v/>
          </cell>
          <cell r="L98" t="str">
            <v/>
          </cell>
          <cell r="N98" t="str">
            <v/>
          </cell>
          <cell r="P98" t="str">
            <v/>
          </cell>
        </row>
        <row r="99">
          <cell r="B99" t="str">
            <v/>
          </cell>
          <cell r="C99" t="str">
            <v/>
          </cell>
          <cell r="F99" t="str">
            <v/>
          </cell>
          <cell r="H99" t="str">
            <v/>
          </cell>
          <cell r="J99" t="str">
            <v/>
          </cell>
          <cell r="L99" t="str">
            <v/>
          </cell>
          <cell r="N99" t="str">
            <v/>
          </cell>
          <cell r="P99" t="str">
            <v/>
          </cell>
        </row>
        <row r="100">
          <cell r="B100" t="str">
            <v/>
          </cell>
          <cell r="C100" t="str">
            <v/>
          </cell>
          <cell r="F100" t="str">
            <v/>
          </cell>
          <cell r="H100" t="str">
            <v/>
          </cell>
          <cell r="J100" t="str">
            <v/>
          </cell>
          <cell r="L100" t="str">
            <v/>
          </cell>
          <cell r="N100" t="str">
            <v/>
          </cell>
          <cell r="P100" t="str">
            <v/>
          </cell>
        </row>
        <row r="101">
          <cell r="B101" t="str">
            <v/>
          </cell>
          <cell r="C101" t="str">
            <v/>
          </cell>
          <cell r="F101" t="str">
            <v/>
          </cell>
          <cell r="H101" t="str">
            <v/>
          </cell>
          <cell r="J101" t="str">
            <v/>
          </cell>
          <cell r="L101" t="str">
            <v/>
          </cell>
          <cell r="N101" t="str">
            <v/>
          </cell>
          <cell r="P101" t="str">
            <v/>
          </cell>
        </row>
        <row r="102">
          <cell r="B102" t="str">
            <v/>
          </cell>
          <cell r="C102" t="str">
            <v/>
          </cell>
          <cell r="F102" t="str">
            <v/>
          </cell>
          <cell r="H102" t="str">
            <v/>
          </cell>
          <cell r="J102" t="str">
            <v/>
          </cell>
          <cell r="L102" t="str">
            <v/>
          </cell>
          <cell r="N102" t="str">
            <v/>
          </cell>
          <cell r="P102" t="str">
            <v/>
          </cell>
        </row>
        <row r="103">
          <cell r="B103" t="str">
            <v/>
          </cell>
          <cell r="C103" t="str">
            <v/>
          </cell>
          <cell r="F103" t="str">
            <v/>
          </cell>
          <cell r="H103" t="str">
            <v/>
          </cell>
          <cell r="J103" t="str">
            <v/>
          </cell>
          <cell r="L103" t="str">
            <v/>
          </cell>
          <cell r="N103" t="str">
            <v/>
          </cell>
          <cell r="P103" t="str">
            <v/>
          </cell>
        </row>
        <row r="104">
          <cell r="B104" t="str">
            <v/>
          </cell>
          <cell r="C104" t="str">
            <v/>
          </cell>
          <cell r="F104" t="str">
            <v/>
          </cell>
          <cell r="H104" t="str">
            <v/>
          </cell>
          <cell r="J104" t="str">
            <v/>
          </cell>
          <cell r="L104" t="str">
            <v/>
          </cell>
          <cell r="N104" t="str">
            <v/>
          </cell>
          <cell r="P104" t="str">
            <v/>
          </cell>
        </row>
        <row r="105">
          <cell r="B105" t="str">
            <v/>
          </cell>
          <cell r="C105" t="str">
            <v/>
          </cell>
          <cell r="F105" t="str">
            <v/>
          </cell>
          <cell r="H105" t="str">
            <v/>
          </cell>
          <cell r="J105" t="str">
            <v/>
          </cell>
          <cell r="L105" t="str">
            <v/>
          </cell>
          <cell r="N105" t="str">
            <v/>
          </cell>
          <cell r="P105" t="str">
            <v/>
          </cell>
        </row>
        <row r="106">
          <cell r="B106" t="str">
            <v/>
          </cell>
          <cell r="C106" t="str">
            <v/>
          </cell>
          <cell r="F106" t="str">
            <v/>
          </cell>
          <cell r="H106" t="str">
            <v/>
          </cell>
          <cell r="J106" t="str">
            <v/>
          </cell>
          <cell r="L106" t="str">
            <v/>
          </cell>
          <cell r="N106" t="str">
            <v/>
          </cell>
          <cell r="P106" t="str">
            <v/>
          </cell>
        </row>
        <row r="107">
          <cell r="B107" t="str">
            <v/>
          </cell>
          <cell r="C107" t="str">
            <v/>
          </cell>
          <cell r="F107" t="str">
            <v/>
          </cell>
          <cell r="H107" t="str">
            <v/>
          </cell>
          <cell r="J107" t="str">
            <v/>
          </cell>
          <cell r="L107" t="str">
            <v/>
          </cell>
          <cell r="N107" t="str">
            <v/>
          </cell>
          <cell r="P107" t="str">
            <v/>
          </cell>
        </row>
        <row r="108">
          <cell r="B108" t="str">
            <v/>
          </cell>
          <cell r="C108" t="str">
            <v/>
          </cell>
          <cell r="F108" t="str">
            <v/>
          </cell>
          <cell r="H108" t="str">
            <v/>
          </cell>
          <cell r="J108" t="str">
            <v/>
          </cell>
          <cell r="L108" t="str">
            <v/>
          </cell>
          <cell r="N108" t="str">
            <v/>
          </cell>
          <cell r="P108" t="str">
            <v/>
          </cell>
        </row>
        <row r="109">
          <cell r="B109" t="str">
            <v/>
          </cell>
          <cell r="C109" t="str">
            <v/>
          </cell>
          <cell r="F109" t="str">
            <v/>
          </cell>
          <cell r="H109" t="str">
            <v/>
          </cell>
          <cell r="J109" t="str">
            <v/>
          </cell>
          <cell r="L109" t="str">
            <v/>
          </cell>
          <cell r="N109" t="str">
            <v/>
          </cell>
          <cell r="P109" t="str">
            <v/>
          </cell>
        </row>
        <row r="110">
          <cell r="B110" t="str">
            <v/>
          </cell>
          <cell r="C110" t="str">
            <v/>
          </cell>
          <cell r="F110" t="str">
            <v/>
          </cell>
          <cell r="H110" t="str">
            <v/>
          </cell>
          <cell r="J110" t="str">
            <v/>
          </cell>
          <cell r="L110" t="str">
            <v/>
          </cell>
          <cell r="N110" t="str">
            <v/>
          </cell>
          <cell r="P110" t="str">
            <v/>
          </cell>
        </row>
        <row r="111">
          <cell r="B111" t="str">
            <v/>
          </cell>
          <cell r="C111" t="str">
            <v/>
          </cell>
          <cell r="F111" t="str">
            <v/>
          </cell>
          <cell r="H111" t="str">
            <v/>
          </cell>
          <cell r="J111" t="str">
            <v/>
          </cell>
          <cell r="L111" t="str">
            <v/>
          </cell>
          <cell r="N111" t="str">
            <v/>
          </cell>
          <cell r="P111" t="str">
            <v/>
          </cell>
        </row>
        <row r="112">
          <cell r="B112" t="str">
            <v/>
          </cell>
          <cell r="C112" t="str">
            <v/>
          </cell>
          <cell r="F112" t="str">
            <v/>
          </cell>
          <cell r="H112" t="str">
            <v/>
          </cell>
          <cell r="J112" t="str">
            <v/>
          </cell>
          <cell r="L112" t="str">
            <v/>
          </cell>
          <cell r="N112" t="str">
            <v/>
          </cell>
          <cell r="P112" t="str">
            <v/>
          </cell>
        </row>
        <row r="113">
          <cell r="B113" t="str">
            <v/>
          </cell>
          <cell r="C113" t="str">
            <v/>
          </cell>
          <cell r="F113" t="str">
            <v/>
          </cell>
          <cell r="H113" t="str">
            <v/>
          </cell>
          <cell r="J113" t="str">
            <v/>
          </cell>
          <cell r="L113" t="str">
            <v/>
          </cell>
          <cell r="N113" t="str">
            <v/>
          </cell>
          <cell r="P113" t="str">
            <v/>
          </cell>
        </row>
        <row r="114">
          <cell r="B114" t="str">
            <v/>
          </cell>
          <cell r="C114" t="str">
            <v/>
          </cell>
          <cell r="F114" t="str">
            <v/>
          </cell>
          <cell r="H114" t="str">
            <v/>
          </cell>
          <cell r="J114" t="str">
            <v/>
          </cell>
          <cell r="L114" t="str">
            <v/>
          </cell>
          <cell r="N114" t="str">
            <v/>
          </cell>
          <cell r="P114" t="str">
            <v/>
          </cell>
        </row>
        <row r="115">
          <cell r="B115" t="str">
            <v/>
          </cell>
          <cell r="C115" t="str">
            <v/>
          </cell>
          <cell r="F115" t="str">
            <v/>
          </cell>
          <cell r="H115" t="str">
            <v/>
          </cell>
          <cell r="J115" t="str">
            <v/>
          </cell>
          <cell r="L115" t="str">
            <v/>
          </cell>
          <cell r="N115" t="str">
            <v/>
          </cell>
          <cell r="P115" t="str">
            <v/>
          </cell>
        </row>
        <row r="116">
          <cell r="B116" t="str">
            <v/>
          </cell>
          <cell r="C116" t="str">
            <v/>
          </cell>
          <cell r="F116" t="str">
            <v/>
          </cell>
          <cell r="H116" t="str">
            <v/>
          </cell>
          <cell r="J116" t="str">
            <v/>
          </cell>
          <cell r="L116" t="str">
            <v/>
          </cell>
          <cell r="N116" t="str">
            <v/>
          </cell>
          <cell r="P116" t="str">
            <v/>
          </cell>
        </row>
        <row r="117">
          <cell r="B117" t="str">
            <v/>
          </cell>
          <cell r="C117" t="str">
            <v/>
          </cell>
          <cell r="F117" t="str">
            <v/>
          </cell>
          <cell r="H117" t="str">
            <v/>
          </cell>
          <cell r="J117" t="str">
            <v/>
          </cell>
          <cell r="L117" t="str">
            <v/>
          </cell>
          <cell r="N117" t="str">
            <v/>
          </cell>
          <cell r="P117" t="str">
            <v/>
          </cell>
        </row>
        <row r="118">
          <cell r="B118" t="str">
            <v/>
          </cell>
          <cell r="C118" t="str">
            <v/>
          </cell>
          <cell r="F118" t="str">
            <v/>
          </cell>
          <cell r="H118" t="str">
            <v/>
          </cell>
          <cell r="J118" t="str">
            <v/>
          </cell>
          <cell r="L118" t="str">
            <v/>
          </cell>
          <cell r="N118" t="str">
            <v/>
          </cell>
          <cell r="P118" t="str">
            <v/>
          </cell>
        </row>
        <row r="119">
          <cell r="B119" t="str">
            <v/>
          </cell>
          <cell r="C119" t="str">
            <v/>
          </cell>
          <cell r="F119" t="str">
            <v/>
          </cell>
          <cell r="H119" t="str">
            <v/>
          </cell>
          <cell r="J119" t="str">
            <v/>
          </cell>
          <cell r="L119" t="str">
            <v/>
          </cell>
          <cell r="N119" t="str">
            <v/>
          </cell>
          <cell r="P119" t="str">
            <v/>
          </cell>
        </row>
        <row r="120">
          <cell r="B120" t="str">
            <v/>
          </cell>
          <cell r="C120" t="str">
            <v/>
          </cell>
          <cell r="F120" t="str">
            <v/>
          </cell>
          <cell r="H120" t="str">
            <v/>
          </cell>
          <cell r="J120" t="str">
            <v/>
          </cell>
          <cell r="L120" t="str">
            <v/>
          </cell>
          <cell r="N120" t="str">
            <v/>
          </cell>
          <cell r="P120" t="str">
            <v/>
          </cell>
        </row>
        <row r="121">
          <cell r="B121" t="str">
            <v/>
          </cell>
          <cell r="C121" t="str">
            <v/>
          </cell>
          <cell r="F121" t="str">
            <v/>
          </cell>
          <cell r="H121" t="str">
            <v/>
          </cell>
          <cell r="J121" t="str">
            <v/>
          </cell>
          <cell r="L121" t="str">
            <v/>
          </cell>
          <cell r="N121" t="str">
            <v/>
          </cell>
          <cell r="P121" t="str">
            <v/>
          </cell>
        </row>
        <row r="122">
          <cell r="B122" t="str">
            <v/>
          </cell>
          <cell r="C122" t="str">
            <v/>
          </cell>
          <cell r="F122" t="str">
            <v/>
          </cell>
          <cell r="H122" t="str">
            <v/>
          </cell>
          <cell r="J122" t="str">
            <v/>
          </cell>
          <cell r="L122" t="str">
            <v/>
          </cell>
          <cell r="N122" t="str">
            <v/>
          </cell>
          <cell r="P122" t="str">
            <v/>
          </cell>
        </row>
        <row r="123">
          <cell r="B123" t="str">
            <v/>
          </cell>
          <cell r="C123" t="str">
            <v/>
          </cell>
          <cell r="F123" t="str">
            <v/>
          </cell>
          <cell r="H123" t="str">
            <v/>
          </cell>
          <cell r="J123" t="str">
            <v/>
          </cell>
          <cell r="L123" t="str">
            <v/>
          </cell>
          <cell r="N123" t="str">
            <v/>
          </cell>
          <cell r="P123" t="str">
            <v/>
          </cell>
        </row>
        <row r="124">
          <cell r="B124" t="str">
            <v/>
          </cell>
          <cell r="C124" t="str">
            <v/>
          </cell>
          <cell r="F124" t="str">
            <v/>
          </cell>
          <cell r="H124" t="str">
            <v/>
          </cell>
          <cell r="J124" t="str">
            <v/>
          </cell>
          <cell r="L124" t="str">
            <v/>
          </cell>
          <cell r="N124" t="str">
            <v/>
          </cell>
          <cell r="P124" t="str">
            <v/>
          </cell>
        </row>
        <row r="125">
          <cell r="B125" t="str">
            <v/>
          </cell>
          <cell r="C125" t="str">
            <v/>
          </cell>
          <cell r="F125" t="str">
            <v/>
          </cell>
          <cell r="H125" t="str">
            <v/>
          </cell>
          <cell r="J125" t="str">
            <v/>
          </cell>
          <cell r="L125" t="str">
            <v/>
          </cell>
          <cell r="N125" t="str">
            <v/>
          </cell>
          <cell r="P125" t="str">
            <v/>
          </cell>
        </row>
        <row r="126">
          <cell r="B126" t="str">
            <v/>
          </cell>
          <cell r="C126" t="str">
            <v/>
          </cell>
          <cell r="F126" t="str">
            <v/>
          </cell>
          <cell r="H126" t="str">
            <v/>
          </cell>
          <cell r="J126" t="str">
            <v/>
          </cell>
          <cell r="L126" t="str">
            <v/>
          </cell>
          <cell r="N126" t="str">
            <v/>
          </cell>
          <cell r="P126" t="str">
            <v/>
          </cell>
        </row>
        <row r="127">
          <cell r="B127" t="str">
            <v/>
          </cell>
          <cell r="C127" t="str">
            <v/>
          </cell>
          <cell r="F127" t="str">
            <v/>
          </cell>
          <cell r="H127" t="str">
            <v/>
          </cell>
          <cell r="J127" t="str">
            <v/>
          </cell>
          <cell r="L127" t="str">
            <v/>
          </cell>
          <cell r="N127" t="str">
            <v/>
          </cell>
          <cell r="P127" t="str">
            <v/>
          </cell>
        </row>
        <row r="128">
          <cell r="B128" t="str">
            <v/>
          </cell>
          <cell r="C128" t="str">
            <v/>
          </cell>
          <cell r="F128" t="str">
            <v/>
          </cell>
          <cell r="H128" t="str">
            <v/>
          </cell>
          <cell r="J128" t="str">
            <v/>
          </cell>
          <cell r="L128" t="str">
            <v/>
          </cell>
          <cell r="N128" t="str">
            <v/>
          </cell>
          <cell r="P128" t="str">
            <v/>
          </cell>
        </row>
        <row r="129">
          <cell r="B129" t="str">
            <v/>
          </cell>
          <cell r="C129" t="str">
            <v/>
          </cell>
          <cell r="F129" t="str">
            <v/>
          </cell>
          <cell r="H129" t="str">
            <v/>
          </cell>
          <cell r="J129" t="str">
            <v/>
          </cell>
          <cell r="L129" t="str">
            <v/>
          </cell>
          <cell r="N129" t="str">
            <v/>
          </cell>
          <cell r="P129" t="str">
            <v/>
          </cell>
        </row>
        <row r="130">
          <cell r="B130" t="str">
            <v/>
          </cell>
          <cell r="C130" t="str">
            <v/>
          </cell>
          <cell r="F130" t="str">
            <v/>
          </cell>
          <cell r="H130" t="str">
            <v/>
          </cell>
          <cell r="J130" t="str">
            <v/>
          </cell>
          <cell r="L130" t="str">
            <v/>
          </cell>
          <cell r="N130" t="str">
            <v/>
          </cell>
          <cell r="P130" t="str">
            <v/>
          </cell>
        </row>
        <row r="131">
          <cell r="B131" t="str">
            <v/>
          </cell>
          <cell r="C131" t="str">
            <v/>
          </cell>
          <cell r="F131" t="str">
            <v/>
          </cell>
          <cell r="H131" t="str">
            <v/>
          </cell>
          <cell r="J131" t="str">
            <v/>
          </cell>
          <cell r="L131" t="str">
            <v/>
          </cell>
          <cell r="N131" t="str">
            <v/>
          </cell>
          <cell r="P131" t="str">
            <v/>
          </cell>
        </row>
        <row r="132">
          <cell r="B132" t="str">
            <v/>
          </cell>
          <cell r="C132" t="str">
            <v/>
          </cell>
          <cell r="F132" t="str">
            <v/>
          </cell>
          <cell r="H132" t="str">
            <v/>
          </cell>
          <cell r="J132" t="str">
            <v/>
          </cell>
          <cell r="L132" t="str">
            <v/>
          </cell>
          <cell r="N132" t="str">
            <v/>
          </cell>
          <cell r="P132" t="str">
            <v/>
          </cell>
        </row>
        <row r="133">
          <cell r="B133" t="str">
            <v/>
          </cell>
          <cell r="C133" t="str">
            <v/>
          </cell>
          <cell r="F133" t="str">
            <v/>
          </cell>
          <cell r="H133" t="str">
            <v/>
          </cell>
          <cell r="J133" t="str">
            <v/>
          </cell>
          <cell r="L133" t="str">
            <v/>
          </cell>
          <cell r="N133" t="str">
            <v/>
          </cell>
          <cell r="P133" t="str">
            <v/>
          </cell>
        </row>
        <row r="134">
          <cell r="B134" t="str">
            <v/>
          </cell>
          <cell r="C134" t="str">
            <v/>
          </cell>
          <cell r="F134" t="str">
            <v/>
          </cell>
          <cell r="H134" t="str">
            <v/>
          </cell>
          <cell r="J134" t="str">
            <v/>
          </cell>
          <cell r="L134" t="str">
            <v/>
          </cell>
          <cell r="N134" t="str">
            <v/>
          </cell>
          <cell r="P134" t="str">
            <v/>
          </cell>
        </row>
        <row r="135">
          <cell r="B135" t="str">
            <v/>
          </cell>
          <cell r="C135" t="str">
            <v/>
          </cell>
          <cell r="F135" t="str">
            <v/>
          </cell>
          <cell r="H135" t="str">
            <v/>
          </cell>
          <cell r="J135" t="str">
            <v/>
          </cell>
          <cell r="L135" t="str">
            <v/>
          </cell>
          <cell r="N135" t="str">
            <v/>
          </cell>
          <cell r="P135" t="str">
            <v/>
          </cell>
        </row>
        <row r="136">
          <cell r="B136" t="str">
            <v/>
          </cell>
          <cell r="C136" t="str">
            <v/>
          </cell>
          <cell r="F136" t="str">
            <v/>
          </cell>
          <cell r="H136" t="str">
            <v/>
          </cell>
          <cell r="J136" t="str">
            <v/>
          </cell>
          <cell r="L136" t="str">
            <v/>
          </cell>
          <cell r="N136" t="str">
            <v/>
          </cell>
          <cell r="P136" t="str">
            <v/>
          </cell>
        </row>
        <row r="137">
          <cell r="B137" t="str">
            <v/>
          </cell>
          <cell r="C137" t="str">
            <v/>
          </cell>
          <cell r="F137" t="str">
            <v/>
          </cell>
          <cell r="H137" t="str">
            <v/>
          </cell>
          <cell r="J137" t="str">
            <v/>
          </cell>
          <cell r="L137" t="str">
            <v/>
          </cell>
          <cell r="N137" t="str">
            <v/>
          </cell>
          <cell r="P137" t="str">
            <v/>
          </cell>
        </row>
        <row r="138">
          <cell r="B138" t="str">
            <v/>
          </cell>
          <cell r="C138" t="str">
            <v/>
          </cell>
          <cell r="F138" t="str">
            <v/>
          </cell>
          <cell r="H138" t="str">
            <v/>
          </cell>
          <cell r="J138" t="str">
            <v/>
          </cell>
          <cell r="L138" t="str">
            <v/>
          </cell>
          <cell r="N138" t="str">
            <v/>
          </cell>
          <cell r="P138" t="str">
            <v/>
          </cell>
        </row>
        <row r="139">
          <cell r="B139" t="str">
            <v/>
          </cell>
          <cell r="C139" t="str">
            <v/>
          </cell>
          <cell r="F139" t="str">
            <v/>
          </cell>
          <cell r="H139" t="str">
            <v/>
          </cell>
          <cell r="J139" t="str">
            <v/>
          </cell>
          <cell r="L139" t="str">
            <v/>
          </cell>
          <cell r="N139" t="str">
            <v/>
          </cell>
          <cell r="P139" t="str">
            <v/>
          </cell>
        </row>
        <row r="140">
          <cell r="B140" t="str">
            <v/>
          </cell>
          <cell r="C140" t="str">
            <v/>
          </cell>
          <cell r="F140" t="str">
            <v/>
          </cell>
          <cell r="H140" t="str">
            <v/>
          </cell>
          <cell r="J140" t="str">
            <v/>
          </cell>
          <cell r="L140" t="str">
            <v/>
          </cell>
          <cell r="N140" t="str">
            <v/>
          </cell>
          <cell r="P140" t="str">
            <v/>
          </cell>
        </row>
        <row r="141">
          <cell r="B141" t="str">
            <v/>
          </cell>
          <cell r="C141" t="str">
            <v/>
          </cell>
          <cell r="F141" t="str">
            <v/>
          </cell>
          <cell r="H141" t="str">
            <v/>
          </cell>
          <cell r="J141" t="str">
            <v/>
          </cell>
          <cell r="L141" t="str">
            <v/>
          </cell>
          <cell r="N141" t="str">
            <v/>
          </cell>
          <cell r="P141" t="str">
            <v/>
          </cell>
        </row>
        <row r="142">
          <cell r="B142" t="str">
            <v/>
          </cell>
          <cell r="C142" t="str">
            <v/>
          </cell>
          <cell r="F142" t="str">
            <v/>
          </cell>
          <cell r="H142" t="str">
            <v/>
          </cell>
          <cell r="J142" t="str">
            <v/>
          </cell>
          <cell r="L142" t="str">
            <v/>
          </cell>
          <cell r="N142" t="str">
            <v/>
          </cell>
          <cell r="P142" t="str">
            <v/>
          </cell>
        </row>
        <row r="143">
          <cell r="B143" t="str">
            <v/>
          </cell>
          <cell r="C143" t="str">
            <v/>
          </cell>
          <cell r="F143" t="str">
            <v/>
          </cell>
          <cell r="H143" t="str">
            <v/>
          </cell>
          <cell r="J143" t="str">
            <v/>
          </cell>
          <cell r="L143" t="str">
            <v/>
          </cell>
          <cell r="N143" t="str">
            <v/>
          </cell>
          <cell r="P143" t="str">
            <v/>
          </cell>
        </row>
      </sheetData>
      <sheetData sheetId="12" refreshError="1"/>
      <sheetData sheetId="13" refreshError="1">
        <row r="6">
          <cell r="P6">
            <v>14</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yankBikin"/>
      <sheetName val="Panduan"/>
      <sheetName val="Menu"/>
      <sheetName val="DataPengawasDKI"/>
      <sheetName val="Data"/>
      <sheetName val="Isi"/>
      <sheetName val="Isi (2)"/>
      <sheetName val="Proses"/>
      <sheetName val="Proses (2)"/>
      <sheetName val="SKL"/>
      <sheetName val="SKL (2)"/>
      <sheetName val="PTK"/>
      <sheetName val="PTK (2)"/>
      <sheetName val="Sar_Pras"/>
      <sheetName val="Sar_Pras (2)"/>
      <sheetName val="Pengelolaan"/>
      <sheetName val="Pengelolaan (2)"/>
      <sheetName val="Biaya"/>
      <sheetName val="Biaya (2)"/>
      <sheetName val="Penilaian"/>
      <sheetName val="Penilaian (2)"/>
      <sheetName val="Sheet9"/>
      <sheetName val="Grafik_1"/>
      <sheetName val="Grafik_2"/>
      <sheetName val="Grafik_3"/>
      <sheetName val="Grafik_4"/>
      <sheetName val="Grafik_5"/>
      <sheetName val="Grafik_6"/>
      <sheetName val="Grafik_7"/>
      <sheetName val="Grafik_8"/>
      <sheetName val="Grafik_9"/>
      <sheetName val="Grafik_10"/>
      <sheetName val="Sheet12"/>
    </sheetNames>
    <sheetDataSet>
      <sheetData sheetId="0" refreshError="1"/>
      <sheetData sheetId="1" refreshError="1"/>
      <sheetData sheetId="2" refreshError="1"/>
      <sheetData sheetId="3" refreshError="1"/>
      <sheetData sheetId="4">
        <row r="14">
          <cell r="A14">
            <v>1</v>
          </cell>
          <cell r="B14" t="str">
            <v>MIS Al-Wathoniyah 06</v>
          </cell>
          <cell r="D14" t="str">
            <v>Hj. Siti Huliyah Masunah, S.P</v>
          </cell>
          <cell r="E14" t="str">
            <v>Jl. Tipar Cakung Km.3 RT.004/009 Cakung Barat</v>
          </cell>
        </row>
        <row r="15">
          <cell r="A15">
            <v>2</v>
          </cell>
          <cell r="B15" t="str">
            <v>MIS Al Wathoniyah 07</v>
          </cell>
          <cell r="D15" t="str">
            <v>HJ. Syaibatul Aslamiyah, Lc</v>
          </cell>
          <cell r="E15" t="str">
            <v>Jl. Tipar Cakung, Cakung Barat</v>
          </cell>
        </row>
        <row r="16">
          <cell r="A16">
            <v>3</v>
          </cell>
          <cell r="B16" t="str">
            <v>MIS Al-Wathoniyah 12</v>
          </cell>
          <cell r="D16" t="str">
            <v>Ibah Adibah, M.Pd.I</v>
          </cell>
          <cell r="E16" t="str">
            <v xml:space="preserve">Jl. Raya Penggilingan RT.014/08 Cakung </v>
          </cell>
        </row>
        <row r="17">
          <cell r="A17">
            <v>4</v>
          </cell>
          <cell r="B17" t="str">
            <v>MIS Al-Wathoniyah 16</v>
          </cell>
          <cell r="D17" t="str">
            <v>Hasan Udin, S.Ag</v>
          </cell>
          <cell r="E17" t="str">
            <v>Jl Raya Penggilingan RT 004/08</v>
          </cell>
        </row>
        <row r="18">
          <cell r="A18">
            <v>5</v>
          </cell>
          <cell r="B18" t="str">
            <v>MIS Haudiyah Al Wathoniyah  43</v>
          </cell>
          <cell r="D18" t="str">
            <v>Drs. HM. Akhfas Hasan</v>
          </cell>
          <cell r="E18" t="str">
            <v>Penggilingan</v>
          </cell>
        </row>
        <row r="19">
          <cell r="A19">
            <v>6</v>
          </cell>
          <cell r="B19" t="str">
            <v>MIS At Taqwa</v>
          </cell>
          <cell r="D19" t="str">
            <v>Widhiyanti R, S.Pd., MM.Pd.</v>
          </cell>
          <cell r="E19" t="str">
            <v>Jl Marzuki</v>
          </cell>
        </row>
        <row r="20">
          <cell r="A20">
            <v>7</v>
          </cell>
          <cell r="B20" t="str">
            <v>MIS Al Hidayah</v>
          </cell>
        </row>
        <row r="21">
          <cell r="A21">
            <v>8</v>
          </cell>
          <cell r="B21" t="str">
            <v>MIS Al Istiqomah</v>
          </cell>
        </row>
        <row r="22">
          <cell r="A22">
            <v>9</v>
          </cell>
          <cell r="B22" t="str">
            <v>MIS Al Akhyar</v>
          </cell>
        </row>
        <row r="23">
          <cell r="A23">
            <v>10</v>
          </cell>
          <cell r="B23" t="str">
            <v>MIS Hikmatul Husnaa</v>
          </cell>
          <cell r="D23" t="str">
            <v>H. Fadlan Hilmie, S.Hum</v>
          </cell>
          <cell r="E23" t="str">
            <v>Pulo Gebang RT.003/04 No.40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B5">
            <v>1</v>
          </cell>
          <cell r="C5" t="str">
            <v>MIS Al-Wathoniyah 06</v>
          </cell>
          <cell r="D5">
            <v>211</v>
          </cell>
          <cell r="E5">
            <v>118</v>
          </cell>
          <cell r="F5">
            <v>173</v>
          </cell>
          <cell r="G5">
            <v>202</v>
          </cell>
          <cell r="H5">
            <v>300</v>
          </cell>
          <cell r="I5">
            <v>256</v>
          </cell>
          <cell r="J5">
            <v>310</v>
          </cell>
          <cell r="K5">
            <v>238</v>
          </cell>
        </row>
        <row r="6">
          <cell r="B6">
            <v>2</v>
          </cell>
          <cell r="C6" t="str">
            <v>MIS Al Wathoniyah 07</v>
          </cell>
          <cell r="D6">
            <v>220</v>
          </cell>
          <cell r="E6">
            <v>128</v>
          </cell>
          <cell r="F6">
            <v>216</v>
          </cell>
          <cell r="G6">
            <v>224</v>
          </cell>
          <cell r="H6">
            <v>308</v>
          </cell>
          <cell r="I6">
            <v>268</v>
          </cell>
          <cell r="J6">
            <v>312</v>
          </cell>
          <cell r="K6">
            <v>244</v>
          </cell>
        </row>
        <row r="7">
          <cell r="B7">
            <v>3</v>
          </cell>
          <cell r="C7" t="str">
            <v>MIS Al-Wathoniyah 12</v>
          </cell>
          <cell r="D7">
            <v>220</v>
          </cell>
          <cell r="E7">
            <v>128</v>
          </cell>
          <cell r="F7">
            <v>216</v>
          </cell>
          <cell r="G7">
            <v>224</v>
          </cell>
          <cell r="H7">
            <v>308</v>
          </cell>
          <cell r="I7">
            <v>268</v>
          </cell>
          <cell r="J7">
            <v>312</v>
          </cell>
          <cell r="K7">
            <v>4</v>
          </cell>
        </row>
        <row r="8">
          <cell r="B8">
            <v>4</v>
          </cell>
          <cell r="C8" t="str">
            <v>MIS Al-Wathoniyah 16</v>
          </cell>
          <cell r="D8">
            <v>220</v>
          </cell>
          <cell r="E8">
            <v>128</v>
          </cell>
          <cell r="F8">
            <v>216</v>
          </cell>
          <cell r="G8">
            <v>224</v>
          </cell>
          <cell r="H8">
            <v>308</v>
          </cell>
          <cell r="I8">
            <v>268</v>
          </cell>
          <cell r="J8">
            <v>312</v>
          </cell>
          <cell r="K8">
            <v>4</v>
          </cell>
        </row>
        <row r="9">
          <cell r="B9">
            <v>5</v>
          </cell>
          <cell r="C9" t="str">
            <v>MIS Haudiyah Al Wathoniyah  43</v>
          </cell>
          <cell r="D9">
            <v>220</v>
          </cell>
          <cell r="E9">
            <v>128</v>
          </cell>
          <cell r="F9">
            <v>216</v>
          </cell>
          <cell r="G9">
            <v>224</v>
          </cell>
          <cell r="H9">
            <v>308</v>
          </cell>
          <cell r="I9">
            <v>268</v>
          </cell>
          <cell r="J9">
            <v>312</v>
          </cell>
          <cell r="K9">
            <v>4</v>
          </cell>
        </row>
        <row r="10">
          <cell r="B10">
            <v>6</v>
          </cell>
          <cell r="C10" t="str">
            <v>MIS At Taqwa</v>
          </cell>
          <cell r="D10">
            <v>220</v>
          </cell>
          <cell r="E10">
            <v>128</v>
          </cell>
          <cell r="F10">
            <v>0</v>
          </cell>
          <cell r="G10">
            <v>224</v>
          </cell>
          <cell r="H10">
            <v>308</v>
          </cell>
          <cell r="I10">
            <v>268</v>
          </cell>
          <cell r="J10">
            <v>312</v>
          </cell>
          <cell r="K10">
            <v>4</v>
          </cell>
        </row>
        <row r="11">
          <cell r="B11">
            <v>7</v>
          </cell>
          <cell r="C11" t="str">
            <v>MIS Al Hidayah</v>
          </cell>
          <cell r="D11">
            <v>220</v>
          </cell>
          <cell r="E11">
            <v>128</v>
          </cell>
          <cell r="F11">
            <v>0</v>
          </cell>
          <cell r="G11">
            <v>0</v>
          </cell>
          <cell r="H11">
            <v>308</v>
          </cell>
          <cell r="I11">
            <v>268</v>
          </cell>
          <cell r="J11">
            <v>312</v>
          </cell>
          <cell r="K11">
            <v>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K BK"/>
      <sheetName val="Matrik"/>
      <sheetName val="INPUT DATA"/>
      <sheetName val="SKP"/>
      <sheetName val="PENGUKURAN"/>
      <sheetName val="PENILAIAN SKP"/>
      <sheetName val="ANJAB"/>
      <sheetName val="ABK"/>
    </sheetNames>
    <sheetDataSet>
      <sheetData sheetId="0">
        <row r="7">
          <cell r="G7" t="str">
            <v>2a</v>
          </cell>
          <cell r="H7" t="str">
            <v>Melaksanakan penyusunan program Layanan Bimbingan dan Konseling</v>
          </cell>
          <cell r="I7">
            <v>0.83</v>
          </cell>
        </row>
        <row r="8">
          <cell r="G8" t="str">
            <v>2b</v>
          </cell>
          <cell r="H8" t="str">
            <v>Melaksanakan penyusunan program Layanan Bimbingan dan Konseling</v>
          </cell>
          <cell r="I8">
            <v>0.83</v>
          </cell>
        </row>
        <row r="9">
          <cell r="G9" t="str">
            <v>2c</v>
          </cell>
          <cell r="H9" t="str">
            <v>Melaksanakan penyusunan program Layanan Bimbingan dan Konseling</v>
          </cell>
          <cell r="I9">
            <v>0.83</v>
          </cell>
        </row>
        <row r="10">
          <cell r="G10" t="str">
            <v>2d</v>
          </cell>
          <cell r="H10" t="str">
            <v>Melaksanakan penyusunan program Layanan Bimbingan dan Konseling</v>
          </cell>
          <cell r="I10">
            <v>0.83</v>
          </cell>
        </row>
        <row r="11">
          <cell r="G11" t="str">
            <v>3a</v>
          </cell>
          <cell r="H11" t="str">
            <v>Melaksanakan penyusunan program Layanan Bimbingan dan Konseling</v>
          </cell>
          <cell r="I11">
            <v>2.08</v>
          </cell>
        </row>
        <row r="12">
          <cell r="G12" t="str">
            <v>3b</v>
          </cell>
          <cell r="H12" t="str">
            <v>Melaksanakan penyusunan program Layanan Bimbingan dan Konseling</v>
          </cell>
          <cell r="I12">
            <v>2.08</v>
          </cell>
        </row>
        <row r="13">
          <cell r="G13" t="str">
            <v>3c</v>
          </cell>
          <cell r="H13" t="str">
            <v>Melaksanakan penyusunan program Layanan Bimbingan dan Konseling</v>
          </cell>
          <cell r="I13">
            <v>4.16</v>
          </cell>
        </row>
        <row r="14">
          <cell r="G14" t="str">
            <v>3d</v>
          </cell>
          <cell r="H14" t="str">
            <v>Melaksanakan penyusunan program Layanan Bimbingan dan Konseling</v>
          </cell>
          <cell r="I14">
            <v>4.16</v>
          </cell>
        </row>
        <row r="15">
          <cell r="G15" t="str">
            <v>4a</v>
          </cell>
          <cell r="H15" t="str">
            <v>Melaksanakan penyusunan program Layanan Bimbingan dan Konseling</v>
          </cell>
          <cell r="I15">
            <v>4.16</v>
          </cell>
        </row>
        <row r="16">
          <cell r="G16" t="str">
            <v>4b</v>
          </cell>
          <cell r="H16" t="str">
            <v>Melaksanakan penyusunan program Layanan Bimbingan dan Konseling</v>
          </cell>
          <cell r="I16">
            <v>4.16</v>
          </cell>
        </row>
        <row r="17">
          <cell r="G17" t="str">
            <v>4c</v>
          </cell>
          <cell r="H17" t="str">
            <v>Melaksanakan penyusunan program Layanan Bimbingan dan Konseling</v>
          </cell>
          <cell r="I17">
            <v>4.16</v>
          </cell>
        </row>
        <row r="18">
          <cell r="G18" t="str">
            <v>4d</v>
          </cell>
          <cell r="H18" t="str">
            <v>Melaksanakan penyusunan program Layanan Bimbingan dan Konseling</v>
          </cell>
          <cell r="I18">
            <v>4.16</v>
          </cell>
        </row>
        <row r="19">
          <cell r="G19" t="str">
            <v>2a</v>
          </cell>
          <cell r="H19" t="str">
            <v>Menyajikan Program Layanan Bimbingan dan Konseling</v>
          </cell>
          <cell r="I19">
            <v>1.24</v>
          </cell>
        </row>
        <row r="20">
          <cell r="G20" t="str">
            <v>2b</v>
          </cell>
          <cell r="H20" t="str">
            <v>Menyajikan Program Layanan Bimbingan dan Konseling</v>
          </cell>
          <cell r="I20">
            <v>1.24</v>
          </cell>
        </row>
        <row r="21">
          <cell r="G21" t="str">
            <v>2c</v>
          </cell>
          <cell r="H21" t="str">
            <v>Menyajikan Program Layanan Bimbingan dan Konseling</v>
          </cell>
          <cell r="I21">
            <v>1.24</v>
          </cell>
        </row>
        <row r="22">
          <cell r="G22" t="str">
            <v>2d</v>
          </cell>
          <cell r="H22" t="str">
            <v>Menyajikan Program Layanan Bimbingan dan Konseling</v>
          </cell>
          <cell r="I22">
            <v>1.24</v>
          </cell>
        </row>
        <row r="23">
          <cell r="G23" t="str">
            <v>3a</v>
          </cell>
          <cell r="H23" t="str">
            <v>Menyajikan Program Layanan Bimbingan dan Konseling</v>
          </cell>
          <cell r="I23">
            <v>3.12</v>
          </cell>
        </row>
        <row r="24">
          <cell r="G24" t="str">
            <v>3b</v>
          </cell>
          <cell r="H24" t="str">
            <v>Menyajikan Program Layanan Bimbingan dan Konseling</v>
          </cell>
          <cell r="I24">
            <v>3.12</v>
          </cell>
        </row>
        <row r="25">
          <cell r="G25" t="str">
            <v>3c</v>
          </cell>
          <cell r="H25" t="str">
            <v>Menyajikan Program Layanan Bimbingan dan Konseling</v>
          </cell>
          <cell r="I25">
            <v>6.24</v>
          </cell>
        </row>
        <row r="26">
          <cell r="G26" t="str">
            <v>3d</v>
          </cell>
          <cell r="H26" t="str">
            <v>Menyajikan Program Layanan Bimbingan dan Konseling</v>
          </cell>
          <cell r="I26">
            <v>6.24</v>
          </cell>
        </row>
        <row r="27">
          <cell r="G27" t="str">
            <v>4a</v>
          </cell>
          <cell r="H27" t="str">
            <v>Menyajikan Program Layanan Bimbingan dan Konseling</v>
          </cell>
          <cell r="I27">
            <v>6.24</v>
          </cell>
        </row>
        <row r="28">
          <cell r="G28" t="str">
            <v>4b</v>
          </cell>
          <cell r="H28" t="str">
            <v>Menyajikan Program Layanan Bimbingan dan Konseling</v>
          </cell>
          <cell r="I28">
            <v>6.24</v>
          </cell>
        </row>
        <row r="29">
          <cell r="G29" t="str">
            <v>4c</v>
          </cell>
          <cell r="H29" t="str">
            <v>Menyajikan Program Layanan Bimbingan dan Konseling</v>
          </cell>
          <cell r="I29">
            <v>6.24</v>
          </cell>
        </row>
        <row r="30">
          <cell r="G30" t="str">
            <v>4d</v>
          </cell>
          <cell r="H30" t="str">
            <v>Menyajikan Program Layanan Bimbingan dan Konseling</v>
          </cell>
          <cell r="I30">
            <v>6.24</v>
          </cell>
        </row>
        <row r="31">
          <cell r="G31" t="str">
            <v>2a</v>
          </cell>
          <cell r="H31" t="str">
            <v>Melaksanakan Evaluasi Layanan Bimbingan dan Konseling</v>
          </cell>
          <cell r="I31">
            <v>0.42</v>
          </cell>
        </row>
        <row r="32">
          <cell r="G32" t="str">
            <v>2b</v>
          </cell>
          <cell r="H32" t="str">
            <v>Melaksanakan Evaluasi Layanan Bimbingan dan Konseling</v>
          </cell>
          <cell r="I32">
            <v>0.42</v>
          </cell>
        </row>
        <row r="33">
          <cell r="G33" t="str">
            <v>2c</v>
          </cell>
          <cell r="H33" t="str">
            <v>Melaksanakan Evaluasi Layanan Bimbingan dan Konseling</v>
          </cell>
          <cell r="I33">
            <v>0.42</v>
          </cell>
        </row>
        <row r="34">
          <cell r="G34" t="str">
            <v>2d</v>
          </cell>
          <cell r="H34" t="str">
            <v>Melaksanakan Evaluasi Layanan Bimbingan dan Konseling</v>
          </cell>
          <cell r="I34">
            <v>0.42</v>
          </cell>
        </row>
        <row r="35">
          <cell r="G35" t="str">
            <v>3a</v>
          </cell>
          <cell r="H35" t="str">
            <v>Melaksanakan Evaluasi Layanan Bimbingan dan Konseling</v>
          </cell>
          <cell r="I35">
            <v>1.04</v>
          </cell>
        </row>
        <row r="36">
          <cell r="G36" t="str">
            <v>3b</v>
          </cell>
          <cell r="H36" t="str">
            <v>Melaksanakan Evaluasi Layanan Bimbingan dan Konseling</v>
          </cell>
          <cell r="I36">
            <v>1.04</v>
          </cell>
        </row>
        <row r="37">
          <cell r="G37" t="str">
            <v>3c</v>
          </cell>
          <cell r="H37" t="str">
            <v>Melaksanakan Evaluasi Layanan Bimbingan dan Konseling</v>
          </cell>
          <cell r="I37">
            <v>2.08</v>
          </cell>
        </row>
        <row r="38">
          <cell r="G38" t="str">
            <v>3d</v>
          </cell>
          <cell r="H38" t="str">
            <v>Melaksanakan Evaluasi Layanan Bimbingan dan Konseling</v>
          </cell>
          <cell r="I38">
            <v>2.08</v>
          </cell>
        </row>
        <row r="39">
          <cell r="G39" t="str">
            <v>4a</v>
          </cell>
          <cell r="H39" t="str">
            <v>Melaksanakan Evaluasi Layanan Bimbingan dan Konseling</v>
          </cell>
          <cell r="I39">
            <v>2.08</v>
          </cell>
        </row>
        <row r="40">
          <cell r="G40" t="str">
            <v>4b</v>
          </cell>
          <cell r="H40" t="str">
            <v>Melaksanakan Evaluasi Layanan Bimbingan dan Konseling</v>
          </cell>
          <cell r="I40">
            <v>2.08</v>
          </cell>
        </row>
        <row r="41">
          <cell r="G41" t="str">
            <v>4c</v>
          </cell>
          <cell r="H41" t="str">
            <v>Melaksanakan Evaluasi Layanan Bimbingan dan Konseling</v>
          </cell>
          <cell r="I41">
            <v>2.08</v>
          </cell>
        </row>
        <row r="42">
          <cell r="G42" t="str">
            <v>4d</v>
          </cell>
          <cell r="H42" t="str">
            <v>Melaksanakan Evaluasi Layanan Bimbingan dan Konseling</v>
          </cell>
          <cell r="I42">
            <v>2.08</v>
          </cell>
        </row>
        <row r="43">
          <cell r="G43" t="str">
            <v>2a</v>
          </cell>
          <cell r="H43" t="str">
            <v>Melaksanakan Analisis Hasil Layanan Bimbingan dan Konseling</v>
          </cell>
          <cell r="I43">
            <v>0.27</v>
          </cell>
        </row>
        <row r="44">
          <cell r="G44" t="str">
            <v>2b</v>
          </cell>
          <cell r="H44" t="str">
            <v>Melaksanakan Analisis Hasil Layanan Bimbingan dan Konseling</v>
          </cell>
          <cell r="I44">
            <v>0.27</v>
          </cell>
        </row>
        <row r="45">
          <cell r="G45" t="str">
            <v>2c</v>
          </cell>
          <cell r="H45" t="str">
            <v>Melaksanakan Analisis Hasil Layanan Bimbingan dan Konseling</v>
          </cell>
          <cell r="I45">
            <v>0.27</v>
          </cell>
        </row>
        <row r="46">
          <cell r="G46" t="str">
            <v>2d</v>
          </cell>
          <cell r="H46" t="str">
            <v>Melaksanakan Analisis Hasil Layanan Bimbingan dan Konseling</v>
          </cell>
          <cell r="I46">
            <v>0.27</v>
          </cell>
        </row>
        <row r="47">
          <cell r="G47" t="str">
            <v>3a</v>
          </cell>
          <cell r="H47" t="str">
            <v>Melaksanakan Analisis Hasil Layanan Bimbingan dan Konseling</v>
          </cell>
          <cell r="I47">
            <v>0.64</v>
          </cell>
        </row>
        <row r="48">
          <cell r="G48" t="str">
            <v>3b</v>
          </cell>
          <cell r="H48" t="str">
            <v>Melaksanakan Analisis Hasil Layanan Bimbingan dan Konseling</v>
          </cell>
          <cell r="I48">
            <v>0.64</v>
          </cell>
        </row>
        <row r="49">
          <cell r="G49" t="str">
            <v>3c</v>
          </cell>
          <cell r="H49" t="str">
            <v>Melaksanakan Analisis Hasil Layanan Bimbingan dan Konseling</v>
          </cell>
          <cell r="I49">
            <v>1.38</v>
          </cell>
        </row>
        <row r="50">
          <cell r="G50" t="str">
            <v>3d</v>
          </cell>
          <cell r="H50" t="str">
            <v>Melaksanakan Analisis Hasil Layanan Bimbingan dan Konseling</v>
          </cell>
          <cell r="I50">
            <v>1.38</v>
          </cell>
        </row>
        <row r="51">
          <cell r="G51" t="str">
            <v>4a</v>
          </cell>
          <cell r="H51" t="str">
            <v>Melaksanakan Analisis Hasil Layanan Bimbingan dan Konseling</v>
          </cell>
          <cell r="I51">
            <v>1.38</v>
          </cell>
        </row>
        <row r="52">
          <cell r="G52" t="str">
            <v>4b</v>
          </cell>
          <cell r="H52" t="str">
            <v>Melaksanakan Analisis Hasil Layanan Bimbingan dan Konseling</v>
          </cell>
          <cell r="I52">
            <v>1.38</v>
          </cell>
        </row>
        <row r="53">
          <cell r="G53" t="str">
            <v>4c</v>
          </cell>
          <cell r="H53" t="str">
            <v>Melaksanakan Analisis Hasil Layanan Bimbingan dan Konseling</v>
          </cell>
          <cell r="I53">
            <v>1.38</v>
          </cell>
        </row>
        <row r="54">
          <cell r="G54" t="str">
            <v>4d</v>
          </cell>
          <cell r="H54" t="str">
            <v>Melaksanakan Analisis Hasil Layanan Bimbingan dan Konseling</v>
          </cell>
          <cell r="I54">
            <v>1.38</v>
          </cell>
        </row>
        <row r="55">
          <cell r="G55" t="str">
            <v>2a</v>
          </cell>
          <cell r="H55" t="str">
            <v>Melaksanakan Program Tindak Lanjut Layanan Bimbingan dan Konseling</v>
          </cell>
          <cell r="I55">
            <v>0.27</v>
          </cell>
        </row>
        <row r="56">
          <cell r="G56" t="str">
            <v>2b</v>
          </cell>
          <cell r="H56" t="str">
            <v>Melaksanakan Program Tindak Lanjut Layanan Bimbingan dan Konseling</v>
          </cell>
          <cell r="I56">
            <v>0.27</v>
          </cell>
        </row>
        <row r="57">
          <cell r="G57" t="str">
            <v>2c</v>
          </cell>
          <cell r="H57" t="str">
            <v>Melaksanakan Program Tindak Lanjut Layanan Bimbingan dan Konseling</v>
          </cell>
          <cell r="I57">
            <v>0.27</v>
          </cell>
        </row>
        <row r="58">
          <cell r="G58" t="str">
            <v>2d</v>
          </cell>
          <cell r="H58" t="str">
            <v>Melaksanakan Program Tindak Lanjut Layanan Bimbingan dan Konseling</v>
          </cell>
          <cell r="I58">
            <v>0.27</v>
          </cell>
        </row>
        <row r="59">
          <cell r="G59" t="str">
            <v>3a</v>
          </cell>
          <cell r="H59" t="str">
            <v>Melaksanakan Program Tindak Lanjut Layanan Bimbingan dan Konseling</v>
          </cell>
          <cell r="I59">
            <v>0.64</v>
          </cell>
        </row>
        <row r="60">
          <cell r="G60" t="str">
            <v>3b</v>
          </cell>
          <cell r="H60" t="str">
            <v>Melaksanakan Program Tindak Lanjut Layanan Bimbingan dan Konseling</v>
          </cell>
          <cell r="I60">
            <v>0.64</v>
          </cell>
        </row>
        <row r="61">
          <cell r="G61" t="str">
            <v>3c</v>
          </cell>
          <cell r="H61" t="str">
            <v>Melaksanakan Program Tindak Lanjut Layanan Bimbingan dan Konseling</v>
          </cell>
          <cell r="I61">
            <v>1.38</v>
          </cell>
        </row>
        <row r="62">
          <cell r="G62" t="str">
            <v>3d</v>
          </cell>
          <cell r="H62" t="str">
            <v>Melaksanakan Program Tindak Lanjut Layanan Bimbingan dan Konseling</v>
          </cell>
          <cell r="I62">
            <v>1.38</v>
          </cell>
        </row>
        <row r="63">
          <cell r="G63" t="str">
            <v>4a</v>
          </cell>
          <cell r="H63" t="str">
            <v>Melaksanakan Program Tindak Lanjut Layanan Bimbingan dan Konseling</v>
          </cell>
          <cell r="I63">
            <v>1.38</v>
          </cell>
        </row>
        <row r="64">
          <cell r="G64" t="str">
            <v>4b</v>
          </cell>
          <cell r="H64" t="str">
            <v>Melaksanakan Program Tindak Lanjut Layanan Bimbingan dan Konseling</v>
          </cell>
          <cell r="I64">
            <v>1.38</v>
          </cell>
        </row>
        <row r="65">
          <cell r="G65" t="str">
            <v>4c</v>
          </cell>
          <cell r="H65" t="str">
            <v>Melaksanakan Program Tindak Lanjut Layanan Bimbingan dan Konseling</v>
          </cell>
          <cell r="I65">
            <v>1.38</v>
          </cell>
        </row>
        <row r="66">
          <cell r="G66" t="str">
            <v>4d</v>
          </cell>
          <cell r="H66" t="str">
            <v>Melaksanakan Program Tindak Lanjut Layanan Bimbingan dan Konseling</v>
          </cell>
          <cell r="I66">
            <v>1.38</v>
          </cell>
        </row>
        <row r="79">
          <cell r="G79" t="str">
            <v>2a</v>
          </cell>
          <cell r="H79" t="str">
            <v>Membimbing Siswa dalam kegiatan ekstrakurikuler</v>
          </cell>
          <cell r="I79">
            <v>0.22</v>
          </cell>
        </row>
        <row r="80">
          <cell r="G80" t="str">
            <v>2b</v>
          </cell>
          <cell r="H80" t="str">
            <v>Membimbing Siswa dalam kegiatan ekstrakurikuler</v>
          </cell>
          <cell r="I80">
            <v>0.22</v>
          </cell>
        </row>
        <row r="81">
          <cell r="G81" t="str">
            <v>2c</v>
          </cell>
          <cell r="H81" t="str">
            <v>Membimbing Siswa dalam kegiatan ekstrakurikuler</v>
          </cell>
          <cell r="I81">
            <v>0.22</v>
          </cell>
        </row>
        <row r="82">
          <cell r="G82" t="str">
            <v>2d</v>
          </cell>
          <cell r="H82" t="str">
            <v>Membimbing Siswa dalam kegiatan ekstrakurikuler</v>
          </cell>
          <cell r="I82">
            <v>0.22</v>
          </cell>
        </row>
        <row r="83">
          <cell r="G83" t="str">
            <v>3a</v>
          </cell>
          <cell r="H83" t="str">
            <v>Membimbing Siswa dalam kegiatan ekstrakurikuler</v>
          </cell>
          <cell r="I83">
            <v>0.56999999999999995</v>
          </cell>
        </row>
        <row r="84">
          <cell r="G84" t="str">
            <v>3b</v>
          </cell>
          <cell r="H84" t="str">
            <v>Membimbing Siswa dalam kegiatan ekstrakurikuler</v>
          </cell>
          <cell r="I84">
            <v>0.56999999999999995</v>
          </cell>
        </row>
        <row r="85">
          <cell r="G85" t="str">
            <v>3c</v>
          </cell>
          <cell r="H85" t="str">
            <v>Membimbing Siswa dalam kegiatan ekstrakurikuler</v>
          </cell>
          <cell r="I85">
            <v>1.1399999999999999</v>
          </cell>
        </row>
        <row r="86">
          <cell r="G86" t="str">
            <v>3d</v>
          </cell>
          <cell r="H86" t="str">
            <v>Membimbing Siswa dalam kegiatan ekstrakurikuler</v>
          </cell>
          <cell r="I86">
            <v>1.1399999999999999</v>
          </cell>
        </row>
        <row r="87">
          <cell r="G87" t="str">
            <v>4a</v>
          </cell>
          <cell r="H87" t="str">
            <v>Membimbing Siswa dalam kegiatan ekstrakurikuler</v>
          </cell>
          <cell r="I87">
            <v>1.1399999999999999</v>
          </cell>
        </row>
        <row r="88">
          <cell r="G88" t="str">
            <v>4b</v>
          </cell>
          <cell r="H88" t="str">
            <v>Membimbing Siswa dalam kegiatan ekstrakurikuler</v>
          </cell>
          <cell r="I88">
            <v>1.1399999999999999</v>
          </cell>
        </row>
        <row r="89">
          <cell r="G89" t="str">
            <v>4c</v>
          </cell>
          <cell r="H89" t="str">
            <v>Membimbing Siswa dalam kegiatan ekstrakurikuler</v>
          </cell>
          <cell r="I89">
            <v>1.1399999999999999</v>
          </cell>
        </row>
        <row r="90">
          <cell r="G90" t="str">
            <v>4d</v>
          </cell>
          <cell r="H90" t="str">
            <v>Membimbing Siswa dalam kegiatan ekstrakurikuler</v>
          </cell>
          <cell r="I90">
            <v>1.1399999999999999</v>
          </cell>
        </row>
        <row r="91">
          <cell r="G91" t="str">
            <v>2a</v>
          </cell>
          <cell r="H91" t="str">
            <v>Membimbing guru dalam proses belajar mengajar/praktek</v>
          </cell>
          <cell r="I91" t="str">
            <v>-</v>
          </cell>
        </row>
        <row r="92">
          <cell r="G92" t="str">
            <v>2b</v>
          </cell>
          <cell r="H92" t="str">
            <v>Membimbing guru dalam proses belajar mengajar/praktek</v>
          </cell>
          <cell r="I92" t="str">
            <v>-</v>
          </cell>
        </row>
        <row r="93">
          <cell r="G93" t="str">
            <v>2c</v>
          </cell>
          <cell r="H93" t="str">
            <v>Membimbing guru dalam proses belajar mengajar/praktek</v>
          </cell>
          <cell r="I93" t="str">
            <v>-</v>
          </cell>
        </row>
        <row r="94">
          <cell r="G94" t="str">
            <v>2d</v>
          </cell>
          <cell r="H94" t="str">
            <v>Membimbing guru dalam proses belajar mengajar/praktek</v>
          </cell>
          <cell r="I94" t="str">
            <v>-</v>
          </cell>
        </row>
        <row r="95">
          <cell r="G95" t="str">
            <v>3a</v>
          </cell>
          <cell r="H95" t="str">
            <v>Membimbing guru dalam proses belajar mengajar/praktek</v>
          </cell>
          <cell r="I95" t="str">
            <v>-</v>
          </cell>
        </row>
        <row r="96">
          <cell r="G96" t="str">
            <v>3b</v>
          </cell>
          <cell r="H96" t="str">
            <v>Membimbing guru dalam proses belajar mengajar/praktek</v>
          </cell>
          <cell r="I96" t="str">
            <v>-</v>
          </cell>
        </row>
        <row r="97">
          <cell r="G97" t="str">
            <v>3c</v>
          </cell>
          <cell r="H97" t="str">
            <v>Membimbing guru dalam proses belajar mengajar/praktek</v>
          </cell>
          <cell r="I97">
            <v>0.42499999999999999</v>
          </cell>
        </row>
        <row r="98">
          <cell r="G98" t="str">
            <v>3d</v>
          </cell>
          <cell r="H98" t="str">
            <v>Membimbing guru dalam proses belajar mengajar/praktek</v>
          </cell>
          <cell r="I98">
            <v>0.42499999999999999</v>
          </cell>
        </row>
        <row r="99">
          <cell r="G99" t="str">
            <v>4a</v>
          </cell>
          <cell r="H99" t="str">
            <v>Membimbing guru dalam proses belajar mengajar/praktek</v>
          </cell>
          <cell r="I99">
            <v>0.85</v>
          </cell>
        </row>
        <row r="100">
          <cell r="G100" t="str">
            <v>4b</v>
          </cell>
          <cell r="H100" t="str">
            <v>Membimbing guru dalam proses belajar mengajar/praktek</v>
          </cell>
          <cell r="I100">
            <v>0.85</v>
          </cell>
        </row>
        <row r="101">
          <cell r="G101" t="str">
            <v>4c</v>
          </cell>
          <cell r="H101" t="str">
            <v>Membimbing guru dalam proses belajar mengajar/praktek</v>
          </cell>
          <cell r="I101">
            <v>0.85</v>
          </cell>
        </row>
        <row r="102">
          <cell r="G102" t="str">
            <v>4d</v>
          </cell>
          <cell r="H102" t="str">
            <v>Membimbing guru dalam proses belajar mengajar/praktek</v>
          </cell>
          <cell r="I102">
            <v>0.85</v>
          </cell>
        </row>
        <row r="119">
          <cell r="G119" t="str">
            <v>2a</v>
          </cell>
          <cell r="H119" t="str">
            <v>Melaksanakan penyusunan program pengajaran</v>
          </cell>
          <cell r="I119">
            <v>0.83</v>
          </cell>
        </row>
        <row r="120">
          <cell r="G120" t="str">
            <v>2b</v>
          </cell>
          <cell r="H120" t="str">
            <v>Melaksanakan penyusunan program pengajaran</v>
          </cell>
          <cell r="I120">
            <v>0.83</v>
          </cell>
        </row>
        <row r="121">
          <cell r="G121" t="str">
            <v>2c</v>
          </cell>
          <cell r="H121" t="str">
            <v>Melaksanakan penyusunan program pengajaran</v>
          </cell>
          <cell r="I121">
            <v>0.83</v>
          </cell>
        </row>
        <row r="122">
          <cell r="G122" t="str">
            <v>2d</v>
          </cell>
          <cell r="H122" t="str">
            <v>Melaksanakan penyusunan program pengajaran</v>
          </cell>
          <cell r="I122">
            <v>0.83</v>
          </cell>
        </row>
        <row r="123">
          <cell r="G123" t="str">
            <v>3a</v>
          </cell>
          <cell r="H123" t="str">
            <v>Melaksanakan penyusunan program pengajaran</v>
          </cell>
          <cell r="I123">
            <v>2.08</v>
          </cell>
        </row>
        <row r="124">
          <cell r="G124" t="str">
            <v>3b</v>
          </cell>
          <cell r="H124" t="str">
            <v>Melaksanakan penyusunan program pengajaran</v>
          </cell>
          <cell r="I124">
            <v>2.08</v>
          </cell>
        </row>
        <row r="125">
          <cell r="G125" t="str">
            <v>3c</v>
          </cell>
          <cell r="H125" t="str">
            <v>Melaksanakan penyusunan program pengajaran</v>
          </cell>
          <cell r="I125">
            <v>4.16</v>
          </cell>
        </row>
        <row r="126">
          <cell r="G126" t="str">
            <v>3d</v>
          </cell>
          <cell r="H126" t="str">
            <v>Melaksanakan penyusunan program pengajaran</v>
          </cell>
          <cell r="I126">
            <v>4.16</v>
          </cell>
        </row>
        <row r="127">
          <cell r="G127" t="str">
            <v>4a</v>
          </cell>
          <cell r="H127" t="str">
            <v>Melaksanakan penyusunan program pengajaran</v>
          </cell>
          <cell r="I127">
            <v>4.16</v>
          </cell>
        </row>
        <row r="128">
          <cell r="G128" t="str">
            <v>4b</v>
          </cell>
          <cell r="H128" t="str">
            <v>Melaksanakan penyusunan program pengajaran</v>
          </cell>
          <cell r="I128">
            <v>4.16</v>
          </cell>
        </row>
        <row r="129">
          <cell r="G129" t="str">
            <v>4c</v>
          </cell>
          <cell r="H129" t="str">
            <v>Melaksanakan penyusunan program pengajaran</v>
          </cell>
          <cell r="I129">
            <v>4.16</v>
          </cell>
        </row>
        <row r="130">
          <cell r="G130" t="str">
            <v>4d</v>
          </cell>
          <cell r="H130" t="str">
            <v>Melaksanakan penyusunan program pengajaran</v>
          </cell>
          <cell r="I130">
            <v>4.16</v>
          </cell>
        </row>
        <row r="131">
          <cell r="G131" t="str">
            <v>2a</v>
          </cell>
          <cell r="H131" t="str">
            <v>Menyajikan Program Pengajaran/Praktek</v>
          </cell>
          <cell r="I131">
            <v>1.24</v>
          </cell>
        </row>
        <row r="132">
          <cell r="G132" t="str">
            <v>2b</v>
          </cell>
          <cell r="H132" t="str">
            <v>Menyajikan Program Pengajaran/Praktek</v>
          </cell>
          <cell r="I132">
            <v>1.24</v>
          </cell>
        </row>
        <row r="133">
          <cell r="G133" t="str">
            <v>2c</v>
          </cell>
          <cell r="H133" t="str">
            <v>Menyajikan Program Pengajaran/Praktek</v>
          </cell>
          <cell r="I133">
            <v>1.24</v>
          </cell>
        </row>
        <row r="134">
          <cell r="G134" t="str">
            <v>2d</v>
          </cell>
          <cell r="H134" t="str">
            <v>Menyajikan Program Pengajaran/Praktek</v>
          </cell>
          <cell r="I134">
            <v>1.24</v>
          </cell>
        </row>
        <row r="135">
          <cell r="G135" t="str">
            <v>3a</v>
          </cell>
          <cell r="H135" t="str">
            <v>Menyajikan Program Pengajaran/Praktek</v>
          </cell>
          <cell r="I135">
            <v>3.12</v>
          </cell>
        </row>
        <row r="136">
          <cell r="G136" t="str">
            <v>3b</v>
          </cell>
          <cell r="H136" t="str">
            <v>Menyajikan Program Pengajaran/Praktek</v>
          </cell>
          <cell r="I136">
            <v>3.12</v>
          </cell>
        </row>
        <row r="137">
          <cell r="G137" t="str">
            <v>3c</v>
          </cell>
          <cell r="H137" t="str">
            <v>Menyajikan Program Pengajaran/Praktek</v>
          </cell>
          <cell r="I137">
            <v>6.24</v>
          </cell>
        </row>
        <row r="138">
          <cell r="G138" t="str">
            <v>3d</v>
          </cell>
          <cell r="H138" t="str">
            <v>Menyajikan Program Pengajaran/Praktek</v>
          </cell>
          <cell r="I138">
            <v>6.24</v>
          </cell>
        </row>
        <row r="139">
          <cell r="G139" t="str">
            <v>4a</v>
          </cell>
          <cell r="H139" t="str">
            <v>Menyajikan Program Pengajaran/Praktek</v>
          </cell>
          <cell r="I139">
            <v>6.24</v>
          </cell>
        </row>
        <row r="140">
          <cell r="G140" t="str">
            <v>4b</v>
          </cell>
          <cell r="H140" t="str">
            <v>Menyajikan Program Pengajaran/Praktek</v>
          </cell>
          <cell r="I140">
            <v>6.24</v>
          </cell>
        </row>
        <row r="141">
          <cell r="G141" t="str">
            <v>4c</v>
          </cell>
          <cell r="H141" t="str">
            <v>Menyajikan Program Pengajaran/Praktek</v>
          </cell>
          <cell r="I141">
            <v>6.24</v>
          </cell>
        </row>
        <row r="142">
          <cell r="G142" t="str">
            <v>4d</v>
          </cell>
          <cell r="H142" t="str">
            <v>Menyajikan Program Pengajaran/Praktek</v>
          </cell>
          <cell r="I142">
            <v>6.24</v>
          </cell>
        </row>
        <row r="143">
          <cell r="G143" t="str">
            <v>2a</v>
          </cell>
          <cell r="H143" t="str">
            <v>Melaksanakan Evaluasi Belajar/Praktek</v>
          </cell>
          <cell r="I143">
            <v>0.42</v>
          </cell>
        </row>
        <row r="144">
          <cell r="G144" t="str">
            <v>2b</v>
          </cell>
          <cell r="H144" t="str">
            <v>Melaksanakan Evaluasi Belajar/Praktek</v>
          </cell>
          <cell r="I144">
            <v>0.42</v>
          </cell>
        </row>
        <row r="145">
          <cell r="G145" t="str">
            <v>2c</v>
          </cell>
          <cell r="H145" t="str">
            <v>Melaksanakan Evaluasi Belajar/Praktek</v>
          </cell>
          <cell r="I145">
            <v>0.42</v>
          </cell>
        </row>
        <row r="146">
          <cell r="G146" t="str">
            <v>2d</v>
          </cell>
          <cell r="H146" t="str">
            <v>Melaksanakan Evaluasi Belajar/Praktek</v>
          </cell>
          <cell r="I146">
            <v>0.42</v>
          </cell>
        </row>
        <row r="147">
          <cell r="G147" t="str">
            <v>3a</v>
          </cell>
          <cell r="H147" t="str">
            <v>Melaksanakan Evaluasi Belajar/Praktek</v>
          </cell>
          <cell r="I147">
            <v>1.04</v>
          </cell>
        </row>
        <row r="148">
          <cell r="G148" t="str">
            <v>3b</v>
          </cell>
          <cell r="H148" t="str">
            <v>Melaksanakan Evaluasi Belajar/Praktek</v>
          </cell>
          <cell r="I148">
            <v>1.04</v>
          </cell>
        </row>
        <row r="149">
          <cell r="G149" t="str">
            <v>3c</v>
          </cell>
          <cell r="H149" t="str">
            <v>Melaksanakan Evaluasi Belajar/Praktek</v>
          </cell>
          <cell r="I149">
            <v>2.08</v>
          </cell>
        </row>
        <row r="150">
          <cell r="G150" t="str">
            <v>3d</v>
          </cell>
          <cell r="H150" t="str">
            <v>Melaksanakan Evaluasi Belajar/Praktek</v>
          </cell>
          <cell r="I150">
            <v>2.08</v>
          </cell>
        </row>
        <row r="151">
          <cell r="G151" t="str">
            <v>4a</v>
          </cell>
          <cell r="H151" t="str">
            <v>Melaksanakan Evaluasi Belajar/Praktek</v>
          </cell>
          <cell r="I151">
            <v>2.08</v>
          </cell>
        </row>
        <row r="152">
          <cell r="G152" t="str">
            <v>4b</v>
          </cell>
          <cell r="H152" t="str">
            <v>Melaksanakan Evaluasi Belajar/Praktek</v>
          </cell>
          <cell r="I152">
            <v>2.08</v>
          </cell>
        </row>
        <row r="153">
          <cell r="G153" t="str">
            <v>4c</v>
          </cell>
          <cell r="H153" t="str">
            <v>Melaksanakan Evaluasi Belajar/Praktek</v>
          </cell>
          <cell r="I153">
            <v>2.08</v>
          </cell>
        </row>
        <row r="154">
          <cell r="G154" t="str">
            <v>4d</v>
          </cell>
          <cell r="H154" t="str">
            <v>Melaksanakan Evaluasi Belajar/Praktek</v>
          </cell>
          <cell r="I154">
            <v>2.08</v>
          </cell>
        </row>
        <row r="155">
          <cell r="G155" t="str">
            <v>2a</v>
          </cell>
          <cell r="H155" t="str">
            <v>Melaksanakan Analisis Hasil Belajar/Praktek</v>
          </cell>
          <cell r="I155">
            <v>0.27</v>
          </cell>
        </row>
        <row r="156">
          <cell r="G156" t="str">
            <v>2b</v>
          </cell>
          <cell r="H156" t="str">
            <v>Melaksanakan Analisis Hasil Belajar/Praktek</v>
          </cell>
          <cell r="I156">
            <v>0.27</v>
          </cell>
        </row>
        <row r="157">
          <cell r="G157" t="str">
            <v>2c</v>
          </cell>
          <cell r="H157" t="str">
            <v>Melaksanakan Analisis Hasil Belajar/Praktek</v>
          </cell>
          <cell r="I157">
            <v>0.27</v>
          </cell>
        </row>
        <row r="158">
          <cell r="G158" t="str">
            <v>2d</v>
          </cell>
          <cell r="H158" t="str">
            <v>Melaksanakan Analisis Hasil Belajar/Praktek</v>
          </cell>
          <cell r="I158">
            <v>0.27</v>
          </cell>
        </row>
        <row r="159">
          <cell r="G159" t="str">
            <v>3a</v>
          </cell>
          <cell r="H159" t="str">
            <v>Melaksanakan Analisis Hasil Belajar/Praktek</v>
          </cell>
          <cell r="I159">
            <v>0.64</v>
          </cell>
        </row>
        <row r="160">
          <cell r="G160" t="str">
            <v>3b</v>
          </cell>
          <cell r="H160" t="str">
            <v>Melaksanakan Analisis Hasil Belajar/Praktek</v>
          </cell>
          <cell r="I160">
            <v>0.64</v>
          </cell>
        </row>
        <row r="161">
          <cell r="G161" t="str">
            <v>3c</v>
          </cell>
          <cell r="H161" t="str">
            <v>Melaksanakan Analisis Hasil Belajar/Praktek</v>
          </cell>
          <cell r="I161">
            <v>1.38</v>
          </cell>
        </row>
        <row r="162">
          <cell r="G162" t="str">
            <v>3d</v>
          </cell>
          <cell r="H162" t="str">
            <v>Melaksanakan Analisis Hasil Belajar/Praktek</v>
          </cell>
          <cell r="I162">
            <v>1.38</v>
          </cell>
        </row>
        <row r="163">
          <cell r="G163" t="str">
            <v>4a</v>
          </cell>
          <cell r="H163" t="str">
            <v>Melaksanakan Analisis Hasil Belajar/Praktek</v>
          </cell>
          <cell r="I163">
            <v>1.38</v>
          </cell>
        </row>
        <row r="164">
          <cell r="G164" t="str">
            <v>4b</v>
          </cell>
          <cell r="H164" t="str">
            <v>Melaksanakan Analisis Hasil Belajar/Praktek</v>
          </cell>
          <cell r="I164">
            <v>1.38</v>
          </cell>
        </row>
        <row r="165">
          <cell r="G165" t="str">
            <v>4c</v>
          </cell>
          <cell r="H165" t="str">
            <v>Melaksanakan Analisis Hasil Belajar/Praktek</v>
          </cell>
          <cell r="I165">
            <v>1.38</v>
          </cell>
        </row>
        <row r="166">
          <cell r="G166" t="str">
            <v>4d</v>
          </cell>
          <cell r="H166" t="str">
            <v>Melaksanakan Analisis Hasil Belajar/Praktek</v>
          </cell>
          <cell r="I166">
            <v>1.38</v>
          </cell>
        </row>
        <row r="167">
          <cell r="G167" t="str">
            <v>2a</v>
          </cell>
          <cell r="H167" t="str">
            <v>Melaksanakan Program Perbaikan dan Pengayaan</v>
          </cell>
          <cell r="I167">
            <v>0.27</v>
          </cell>
        </row>
        <row r="168">
          <cell r="G168" t="str">
            <v>2b</v>
          </cell>
          <cell r="H168" t="str">
            <v>Melaksanakan Program Perbaikan dan Pengayaan</v>
          </cell>
          <cell r="I168">
            <v>0.27</v>
          </cell>
        </row>
        <row r="169">
          <cell r="G169" t="str">
            <v>2c</v>
          </cell>
          <cell r="H169" t="str">
            <v>Melaksanakan Program Perbaikan dan Pengayaan</v>
          </cell>
          <cell r="I169">
            <v>0.27</v>
          </cell>
        </row>
        <row r="170">
          <cell r="G170" t="str">
            <v>2d</v>
          </cell>
          <cell r="H170" t="str">
            <v>Melaksanakan Program Perbaikan dan Pengayaan</v>
          </cell>
          <cell r="I170">
            <v>0.27</v>
          </cell>
        </row>
        <row r="171">
          <cell r="G171" t="str">
            <v>3a</v>
          </cell>
          <cell r="H171" t="str">
            <v>Melaksanakan Program Perbaikan dan Pengayaan</v>
          </cell>
          <cell r="I171">
            <v>0.64</v>
          </cell>
        </row>
        <row r="172">
          <cell r="G172" t="str">
            <v>3b</v>
          </cell>
          <cell r="H172" t="str">
            <v>Melaksanakan Program Perbaikan dan Pengayaan</v>
          </cell>
          <cell r="I172">
            <v>0.64</v>
          </cell>
        </row>
        <row r="173">
          <cell r="G173" t="str">
            <v>3c</v>
          </cell>
          <cell r="H173" t="str">
            <v>Melaksanakan Program Perbaikan dan Pengayaan</v>
          </cell>
          <cell r="I173">
            <v>1.38</v>
          </cell>
        </row>
        <row r="174">
          <cell r="G174" t="str">
            <v>3d</v>
          </cell>
          <cell r="H174" t="str">
            <v>Melaksanakan Program Perbaikan dan Pengayaan</v>
          </cell>
          <cell r="I174">
            <v>1.38</v>
          </cell>
        </row>
        <row r="175">
          <cell r="G175" t="str">
            <v>4a</v>
          </cell>
          <cell r="H175" t="str">
            <v>Melaksanakan Program Perbaikan dan Pengayaan</v>
          </cell>
          <cell r="I175">
            <v>1.38</v>
          </cell>
        </row>
        <row r="176">
          <cell r="G176" t="str">
            <v>4b</v>
          </cell>
          <cell r="H176" t="str">
            <v>Melaksanakan Program Perbaikan dan Pengayaan</v>
          </cell>
          <cell r="I176">
            <v>1.38</v>
          </cell>
        </row>
        <row r="177">
          <cell r="G177" t="str">
            <v>4c</v>
          </cell>
          <cell r="H177" t="str">
            <v>Melaksanakan Program Perbaikan dan Pengayaan</v>
          </cell>
          <cell r="I177">
            <v>1.38</v>
          </cell>
        </row>
        <row r="178">
          <cell r="G178" t="str">
            <v>4d</v>
          </cell>
          <cell r="H178" t="str">
            <v>Melaksanakan Program Perbaikan dan Pengayaan</v>
          </cell>
          <cell r="I178">
            <v>1.38</v>
          </cell>
        </row>
        <row r="179">
          <cell r="G179" t="str">
            <v>2a</v>
          </cell>
          <cell r="H179" t="str">
            <v>Melaksanakan BP kalau yang menjadi tanggung jawabnya (khusus) guru kelas</v>
          </cell>
          <cell r="I179">
            <v>0.22</v>
          </cell>
        </row>
        <row r="180">
          <cell r="G180" t="str">
            <v>2b</v>
          </cell>
          <cell r="H180" t="str">
            <v>Melaksanakan BP kalau yang menjadi tanggung jawabnya (khusus) guru kelas</v>
          </cell>
          <cell r="I180">
            <v>0.22</v>
          </cell>
        </row>
        <row r="181">
          <cell r="G181" t="str">
            <v>2c</v>
          </cell>
          <cell r="H181" t="str">
            <v>Melaksanakan BP kalau yang menjadi tanggung jawabnya (khusus) guru kelas</v>
          </cell>
          <cell r="I181">
            <v>0.22</v>
          </cell>
        </row>
        <row r="182">
          <cell r="G182" t="str">
            <v>2d</v>
          </cell>
          <cell r="H182" t="str">
            <v>Melaksanakan BP kalau yang menjadi tanggung jawabnya (khusus) guru kelas</v>
          </cell>
          <cell r="I182">
            <v>0.22</v>
          </cell>
        </row>
        <row r="183">
          <cell r="G183" t="str">
            <v>3a</v>
          </cell>
          <cell r="H183" t="str">
            <v>Melaksanakan BP kalau yang menjadi tanggung jawabnya (khusus) guru kelas</v>
          </cell>
          <cell r="I183">
            <v>0.56999999999999995</v>
          </cell>
        </row>
        <row r="184">
          <cell r="G184" t="str">
            <v>3b</v>
          </cell>
          <cell r="H184" t="str">
            <v>Melaksanakan BP kalau yang menjadi tanggung jawabnya (khusus) guru kelas</v>
          </cell>
          <cell r="I184">
            <v>0.56999999999999995</v>
          </cell>
        </row>
        <row r="185">
          <cell r="G185" t="str">
            <v>3c</v>
          </cell>
          <cell r="H185" t="str">
            <v>Melaksanakan BP kalau yang menjadi tanggung jawabnya (khusus) guru kelas</v>
          </cell>
          <cell r="I185">
            <v>1.1399999999999999</v>
          </cell>
        </row>
        <row r="186">
          <cell r="G186" t="str">
            <v>3d</v>
          </cell>
          <cell r="H186" t="str">
            <v>Melaksanakan BP kalau yang menjadi tanggung jawabnya (khusus) guru kelas</v>
          </cell>
          <cell r="I186">
            <v>1.1399999999999999</v>
          </cell>
        </row>
        <row r="187">
          <cell r="G187" t="str">
            <v>4a</v>
          </cell>
          <cell r="H187" t="str">
            <v>Melaksanakan BP kalau yang menjadi tanggung jawabnya (khusus) guru kelas</v>
          </cell>
          <cell r="I187">
            <v>1.1399999999999999</v>
          </cell>
        </row>
        <row r="188">
          <cell r="G188" t="str">
            <v>4b</v>
          </cell>
          <cell r="H188" t="str">
            <v>Melaksanakan BP kalau yang menjadi tanggung jawabnya (khusus) guru kelas</v>
          </cell>
          <cell r="I188">
            <v>1.1399999999999999</v>
          </cell>
        </row>
        <row r="189">
          <cell r="G189" t="str">
            <v>4c</v>
          </cell>
          <cell r="H189" t="str">
            <v>Melaksanakan BP kalau yang menjadi tanggung jawabnya (khusus) guru kelas</v>
          </cell>
          <cell r="I189">
            <v>1.1399999999999999</v>
          </cell>
        </row>
        <row r="190">
          <cell r="G190" t="str">
            <v>4d</v>
          </cell>
          <cell r="H190" t="str">
            <v>Melaksanakan BP kalau yang menjadi tanggung jawabnya (khusus) guru kelas</v>
          </cell>
          <cell r="I190">
            <v>1.1399999999999999</v>
          </cell>
        </row>
        <row r="191">
          <cell r="G191" t="str">
            <v>2a</v>
          </cell>
          <cell r="H191" t="str">
            <v>Membimbing Siswa dalam kegiatan ekstrakurikuler</v>
          </cell>
          <cell r="I191">
            <v>0.22</v>
          </cell>
        </row>
        <row r="192">
          <cell r="G192" t="str">
            <v>2b</v>
          </cell>
          <cell r="H192" t="str">
            <v>Membimbing Siswa dalam kegiatan ekstrakurikuler</v>
          </cell>
          <cell r="I192">
            <v>0.22</v>
          </cell>
        </row>
        <row r="193">
          <cell r="G193" t="str">
            <v>2c</v>
          </cell>
          <cell r="H193" t="str">
            <v>Membimbing Siswa dalam kegiatan ekstrakurikuler</v>
          </cell>
          <cell r="I193">
            <v>0.22</v>
          </cell>
        </row>
        <row r="194">
          <cell r="G194" t="str">
            <v>2d</v>
          </cell>
          <cell r="H194" t="str">
            <v>Membimbing Siswa dalam kegiatan ekstrakurikuler</v>
          </cell>
          <cell r="I194">
            <v>0.22</v>
          </cell>
        </row>
        <row r="195">
          <cell r="G195" t="str">
            <v>3a</v>
          </cell>
          <cell r="H195" t="str">
            <v>Membimbing Siswa dalam kegiatan ekstrakurikuler</v>
          </cell>
          <cell r="I195">
            <v>0.56999999999999995</v>
          </cell>
        </row>
        <row r="196">
          <cell r="G196" t="str">
            <v>3b</v>
          </cell>
          <cell r="H196" t="str">
            <v>Membimbing Siswa dalam kegiatan ekstrakurikuler</v>
          </cell>
          <cell r="I196">
            <v>0.56999999999999995</v>
          </cell>
        </row>
        <row r="197">
          <cell r="G197" t="str">
            <v>3c</v>
          </cell>
          <cell r="H197" t="str">
            <v>Membimbing Siswa dalam kegiatan ekstrakurikuler</v>
          </cell>
          <cell r="I197">
            <v>1.1399999999999999</v>
          </cell>
        </row>
        <row r="198">
          <cell r="G198" t="str">
            <v>3d</v>
          </cell>
          <cell r="H198" t="str">
            <v>Membimbing Siswa dalam kegiatan ekstrakurikuler</v>
          </cell>
          <cell r="I198">
            <v>1.1399999999999999</v>
          </cell>
        </row>
        <row r="199">
          <cell r="G199" t="str">
            <v>4a</v>
          </cell>
          <cell r="H199" t="str">
            <v>Membimbing Siswa dalam kegiatan ekstrakurikuler</v>
          </cell>
          <cell r="I199">
            <v>1.1399999999999999</v>
          </cell>
        </row>
        <row r="200">
          <cell r="G200" t="str">
            <v>4b</v>
          </cell>
          <cell r="H200" t="str">
            <v>Membimbing Siswa dalam kegiatan ekstrakurikuler</v>
          </cell>
          <cell r="I200">
            <v>1.1399999999999999</v>
          </cell>
        </row>
        <row r="201">
          <cell r="G201" t="str">
            <v>4c</v>
          </cell>
          <cell r="H201" t="str">
            <v>Membimbing Siswa dalam kegiatan ekstrakurikuler</v>
          </cell>
          <cell r="I201">
            <v>1.1399999999999999</v>
          </cell>
        </row>
        <row r="202">
          <cell r="G202" t="str">
            <v>4d</v>
          </cell>
          <cell r="H202" t="str">
            <v>Membimbing Siswa dalam kegiatan ekstrakurikuler</v>
          </cell>
          <cell r="I202">
            <v>1.1399999999999999</v>
          </cell>
        </row>
        <row r="203">
          <cell r="G203" t="str">
            <v>2a</v>
          </cell>
          <cell r="H203" t="str">
            <v>Membimbing guru dalam proses belajar mengajar/praktek</v>
          </cell>
          <cell r="I203" t="str">
            <v>-</v>
          </cell>
        </row>
        <row r="204">
          <cell r="G204" t="str">
            <v>2b</v>
          </cell>
          <cell r="H204" t="str">
            <v>Membimbing guru dalam proses belajar mengajar/praktek</v>
          </cell>
          <cell r="I204" t="str">
            <v>-</v>
          </cell>
        </row>
        <row r="205">
          <cell r="G205" t="str">
            <v>2c</v>
          </cell>
          <cell r="H205" t="str">
            <v>Membimbing guru dalam proses belajar mengajar/praktek</v>
          </cell>
          <cell r="I205" t="str">
            <v>-</v>
          </cell>
        </row>
        <row r="206">
          <cell r="G206" t="str">
            <v>2d</v>
          </cell>
          <cell r="H206" t="str">
            <v>Membimbing guru dalam proses belajar mengajar/praktek</v>
          </cell>
          <cell r="I206" t="str">
            <v>-</v>
          </cell>
        </row>
        <row r="207">
          <cell r="G207" t="str">
            <v>3a</v>
          </cell>
          <cell r="H207" t="str">
            <v>Membimbing guru dalam proses belajar mengajar/praktek</v>
          </cell>
          <cell r="I207" t="str">
            <v>-</v>
          </cell>
        </row>
        <row r="208">
          <cell r="G208" t="str">
            <v>3b</v>
          </cell>
          <cell r="H208" t="str">
            <v>Membimbing guru dalam proses belajar mengajar/praktek</v>
          </cell>
          <cell r="I208" t="str">
            <v>-</v>
          </cell>
        </row>
        <row r="209">
          <cell r="G209" t="str">
            <v>3c</v>
          </cell>
          <cell r="H209" t="str">
            <v>Membimbing guru dalam proses belajar mengajar/praktek</v>
          </cell>
          <cell r="I209">
            <v>0.42499999999999999</v>
          </cell>
        </row>
        <row r="210">
          <cell r="G210" t="str">
            <v>3d</v>
          </cell>
          <cell r="H210" t="str">
            <v>Membimbing guru dalam proses belajar mengajar/praktek</v>
          </cell>
          <cell r="I210">
            <v>0.42499999999999999</v>
          </cell>
        </row>
        <row r="211">
          <cell r="G211" t="str">
            <v>4a</v>
          </cell>
          <cell r="H211" t="str">
            <v>Membimbing guru dalam proses belajar mengajar/praktek</v>
          </cell>
          <cell r="I211">
            <v>0.85</v>
          </cell>
        </row>
        <row r="212">
          <cell r="G212" t="str">
            <v>4b</v>
          </cell>
          <cell r="H212" t="str">
            <v>Membimbing guru dalam proses belajar mengajar/praktek</v>
          </cell>
          <cell r="I212">
            <v>0.85</v>
          </cell>
        </row>
        <row r="213">
          <cell r="G213" t="str">
            <v>4c</v>
          </cell>
          <cell r="H213" t="str">
            <v>Membimbing guru dalam proses belajar mengajar/praktek</v>
          </cell>
          <cell r="I213">
            <v>0.85</v>
          </cell>
        </row>
        <row r="214">
          <cell r="G214" t="str">
            <v>4d</v>
          </cell>
          <cell r="H214" t="str">
            <v>Membimbing guru dalam proses belajar mengajar/praktek</v>
          </cell>
          <cell r="I214">
            <v>0.85</v>
          </cell>
        </row>
        <row r="228">
          <cell r="G228" t="str">
            <v>GURU</v>
          </cell>
        </row>
        <row r="229">
          <cell r="G229" t="str">
            <v>KA</v>
          </cell>
          <cell r="H229" t="str">
            <v>Melaksanakan tugas tertentu sebagai Kepala Madrasah</v>
          </cell>
          <cell r="I229">
            <v>4</v>
          </cell>
        </row>
        <row r="230">
          <cell r="G230" t="str">
            <v>KALAB</v>
          </cell>
          <cell r="H230" t="str">
            <v>Melaksanakan tugas tertentu sebagai Kepala Laboratorium</v>
          </cell>
          <cell r="I230">
            <v>0.5</v>
          </cell>
        </row>
        <row r="231">
          <cell r="G231" t="str">
            <v>KAPUS</v>
          </cell>
          <cell r="H231" t="str">
            <v>Melaksanakan tugas tertentu sebagai Kepala Perpustakaan</v>
          </cell>
          <cell r="I231">
            <v>0.5</v>
          </cell>
        </row>
        <row r="232">
          <cell r="G232" t="str">
            <v>WAKA</v>
          </cell>
          <cell r="H232" t="str">
            <v>Melaksanakan tugas tertentu sebagai Wakil Kepala Madrasah</v>
          </cell>
          <cell r="I232">
            <v>2</v>
          </cell>
        </row>
        <row r="233">
          <cell r="G233" t="str">
            <v>WK</v>
          </cell>
          <cell r="H233" t="str">
            <v>Melaksanakan tugas tertentu sebagai Wali Kelas</v>
          </cell>
          <cell r="I233">
            <v>0.5</v>
          </cell>
        </row>
        <row r="235">
          <cell r="F235" t="str">
            <v>GBK</v>
          </cell>
          <cell r="G235" t="str">
            <v>Guru Bimbingan Konseling</v>
          </cell>
        </row>
        <row r="236">
          <cell r="F236" t="str">
            <v>GK</v>
          </cell>
          <cell r="G236" t="str">
            <v>Guru Kelas</v>
          </cell>
        </row>
        <row r="237">
          <cell r="F237" t="str">
            <v>GMP</v>
          </cell>
          <cell r="G237" t="str">
            <v>Guru Mata Pelajaran</v>
          </cell>
        </row>
        <row r="260">
          <cell r="G260" t="str">
            <v>Pangkat Guru</v>
          </cell>
        </row>
        <row r="261">
          <cell r="G261" t="str">
            <v>2a</v>
          </cell>
          <cell r="H261" t="str">
            <v>Guru Pertama</v>
          </cell>
        </row>
        <row r="262">
          <cell r="G262" t="str">
            <v>2b</v>
          </cell>
          <cell r="H262" t="str">
            <v>Guru Pertama</v>
          </cell>
        </row>
        <row r="263">
          <cell r="G263" t="str">
            <v>2c</v>
          </cell>
          <cell r="H263" t="str">
            <v>Guru Pertama</v>
          </cell>
        </row>
        <row r="264">
          <cell r="G264" t="str">
            <v>2d</v>
          </cell>
          <cell r="H264" t="str">
            <v>Guru Pertama</v>
          </cell>
        </row>
        <row r="265">
          <cell r="G265" t="str">
            <v>3a</v>
          </cell>
          <cell r="H265" t="str">
            <v>Guru Pertama</v>
          </cell>
        </row>
        <row r="266">
          <cell r="G266" t="str">
            <v>3b</v>
          </cell>
          <cell r="H266" t="str">
            <v>Guru Pertama</v>
          </cell>
        </row>
        <row r="267">
          <cell r="G267" t="str">
            <v>3c</v>
          </cell>
          <cell r="H267" t="str">
            <v>Guru Muda</v>
          </cell>
        </row>
        <row r="268">
          <cell r="G268" t="str">
            <v>3d</v>
          </cell>
          <cell r="H268" t="str">
            <v>Guru Muda</v>
          </cell>
        </row>
        <row r="269">
          <cell r="G269" t="str">
            <v>4a</v>
          </cell>
          <cell r="H269" t="str">
            <v>Guru Madya</v>
          </cell>
        </row>
        <row r="270">
          <cell r="G270" t="str">
            <v>4b</v>
          </cell>
          <cell r="H270" t="str">
            <v>Guru Madya</v>
          </cell>
        </row>
        <row r="271">
          <cell r="G271" t="str">
            <v>4c</v>
          </cell>
          <cell r="H271" t="str">
            <v>Guru Madya</v>
          </cell>
        </row>
        <row r="272">
          <cell r="G272" t="str">
            <v>4d</v>
          </cell>
          <cell r="H272" t="str">
            <v>Guru Utama</v>
          </cell>
        </row>
        <row r="273">
          <cell r="G273" t="str">
            <v>4e</v>
          </cell>
          <cell r="H273" t="str">
            <v>Guru Utama</v>
          </cell>
        </row>
      </sheetData>
      <sheetData sheetId="1"/>
      <sheetData sheetId="2">
        <row r="11">
          <cell r="G11" t="str">
            <v>Dra. Hj. Mansyiah</v>
          </cell>
        </row>
      </sheetData>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P3"/>
      <sheetName val="DATAPEGAWAI"/>
      <sheetName val="BERINILAI"/>
      <sheetName val="Nilai"/>
      <sheetName val="UNSURPENILAIAN"/>
      <sheetName val="PASSWORD"/>
      <sheetName val="MENU"/>
      <sheetName val="PANDUAN"/>
      <sheetName val="Sheet1"/>
    </sheetNames>
    <sheetDataSet>
      <sheetData sheetId="0"/>
      <sheetData sheetId="1">
        <row r="2">
          <cell r="C2" t="str">
            <v>DRS. HASSAN MUSTHAFA</v>
          </cell>
          <cell r="D2" t="str">
            <v>150 240 489</v>
          </cell>
          <cell r="E2" t="str">
            <v>Penata, III/c</v>
          </cell>
          <cell r="F2" t="str">
            <v>Penghulu</v>
          </cell>
        </row>
        <row r="3">
          <cell r="C3" t="str">
            <v>DRS. H. ABD. RAHMAN NAFIS</v>
          </cell>
          <cell r="D3" t="str">
            <v>19620503 200003 1 004</v>
          </cell>
          <cell r="E3" t="str">
            <v xml:space="preserve">Penata Muda Tk I, III/b </v>
          </cell>
          <cell r="F3" t="str">
            <v>Penghulu</v>
          </cell>
        </row>
        <row r="4">
          <cell r="C4" t="str">
            <v>ENDANG MULYANA, S.Ag.</v>
          </cell>
          <cell r="D4" t="str">
            <v>19680127 199703 1 001</v>
          </cell>
          <cell r="E4" t="str">
            <v>Penata Tk. I, III/d</v>
          </cell>
          <cell r="F4" t="str">
            <v>Penghulu</v>
          </cell>
        </row>
        <row r="5">
          <cell r="C5" t="str">
            <v>JUMANI SAMAN, S.Ag.</v>
          </cell>
          <cell r="D5" t="str">
            <v>150 259 863</v>
          </cell>
          <cell r="E5" t="str">
            <v xml:space="preserve">Penata Muda Tk I, III/b </v>
          </cell>
          <cell r="F5" t="str">
            <v>Penghulu</v>
          </cell>
        </row>
        <row r="6">
          <cell r="C6" t="str">
            <v>NDANG RENDRANATA</v>
          </cell>
          <cell r="D6" t="str">
            <v>150 243 804</v>
          </cell>
          <cell r="E6" t="str">
            <v>Penata Muda, III/a</v>
          </cell>
          <cell r="F6" t="str">
            <v>Pelaksana</v>
          </cell>
        </row>
        <row r="7">
          <cell r="C7" t="str">
            <v>MIFTAHURROZAK, A.Md.</v>
          </cell>
          <cell r="D7" t="str">
            <v>150 375 761</v>
          </cell>
          <cell r="E7" t="str">
            <v>Pengatur, II/c</v>
          </cell>
          <cell r="F7" t="str">
            <v>Pelaksana</v>
          </cell>
        </row>
        <row r="8">
          <cell r="C8" t="str">
            <v>BAMBANG HERIANTO, SE.</v>
          </cell>
          <cell r="D8" t="str">
            <v>150 375 728</v>
          </cell>
          <cell r="E8" t="str">
            <v xml:space="preserve">Penata Muda Tk I, III/b </v>
          </cell>
          <cell r="F8" t="str">
            <v>Pelaksana</v>
          </cell>
        </row>
        <row r="9">
          <cell r="C9" t="str">
            <v>SITI QOMARIYAH</v>
          </cell>
          <cell r="D9" t="str">
            <v>19630904 198903 2 003</v>
          </cell>
          <cell r="E9" t="str">
            <v>Penata Muda, III/a</v>
          </cell>
          <cell r="F9" t="str">
            <v>Pelaksana</v>
          </cell>
        </row>
        <row r="10">
          <cell r="C10" t="str">
            <v>EDDY SUHERMAN, SH.</v>
          </cell>
          <cell r="D10" t="str">
            <v>19710208 199303 1 001</v>
          </cell>
          <cell r="E10" t="str">
            <v>Penata, III/c</v>
          </cell>
          <cell r="F10" t="str">
            <v>Pelaksana</v>
          </cell>
        </row>
        <row r="11">
          <cell r="C11" t="str">
            <v>NURHIKMAWATI</v>
          </cell>
          <cell r="D11" t="str">
            <v>19740113 200212 2 002</v>
          </cell>
          <cell r="E11" t="str">
            <v>Pengatur Muda Tk. I, II/b</v>
          </cell>
          <cell r="F11" t="str">
            <v>Pelaksana</v>
          </cell>
        </row>
        <row r="12">
          <cell r="C12" t="str">
            <v>NOR HIDAYATI</v>
          </cell>
          <cell r="D12" t="str">
            <v>150 330 835</v>
          </cell>
          <cell r="E12" t="str">
            <v>Pengatur Muda, II/a</v>
          </cell>
          <cell r="F12" t="str">
            <v>Pelaksana</v>
          </cell>
        </row>
        <row r="13">
          <cell r="C13" t="str">
            <v>MUHIAR</v>
          </cell>
          <cell r="D13" t="str">
            <v>19601019 198303 1 004</v>
          </cell>
          <cell r="E13" t="str">
            <v>Pengatur Muda Tk. I, II/b</v>
          </cell>
          <cell r="F13" t="str">
            <v>Pelaksana</v>
          </cell>
        </row>
        <row r="14">
          <cell r="C14" t="str">
            <v>HIKMAWATI</v>
          </cell>
          <cell r="D14" t="str">
            <v>19770312 199702 2 001</v>
          </cell>
          <cell r="E14" t="str">
            <v>Pengatur Tk. I, II/d</v>
          </cell>
          <cell r="F14" t="str">
            <v>Pelaksana</v>
          </cell>
        </row>
        <row r="15">
          <cell r="C15" t="str">
            <v>MASYITOH</v>
          </cell>
          <cell r="D15" t="str">
            <v>19641118 199103 2 001</v>
          </cell>
          <cell r="E15" t="str">
            <v>Penata Muda, III/a</v>
          </cell>
          <cell r="F15" t="str">
            <v>Pelaksana</v>
          </cell>
        </row>
        <row r="16">
          <cell r="C16" t="str">
            <v>NABILAH, S.Sos.I</v>
          </cell>
          <cell r="D16" t="str">
            <v>150 331 261</v>
          </cell>
          <cell r="E16" t="str">
            <v xml:space="preserve">Penata Muda Tk I, III/b </v>
          </cell>
          <cell r="F16" t="str">
            <v>Pelaksana</v>
          </cell>
        </row>
        <row r="17">
          <cell r="C17" t="str">
            <v>WIYANTO</v>
          </cell>
          <cell r="D17" t="str">
            <v>19761010 200910 1 001</v>
          </cell>
          <cell r="E17" t="str">
            <v>Pengatur Muda, II/a</v>
          </cell>
          <cell r="F17" t="str">
            <v>Pelaksana</v>
          </cell>
        </row>
        <row r="18">
          <cell r="C18" t="str">
            <v>SIDIK RAHARJA</v>
          </cell>
          <cell r="D18" t="str">
            <v>19750414 200901 1 011</v>
          </cell>
          <cell r="E18" t="str">
            <v>Pengatur Muda, II/a</v>
          </cell>
          <cell r="F18" t="str">
            <v>Pelaksana</v>
          </cell>
        </row>
        <row r="19">
          <cell r="C19" t="str">
            <v>M. ZAENUDDIN, S.HI.</v>
          </cell>
          <cell r="D19" t="str">
            <v>19810914 200501 1 002</v>
          </cell>
          <cell r="E19" t="str">
            <v xml:space="preserve">Penata Muda Tk I, III/b </v>
          </cell>
          <cell r="F19" t="str">
            <v>Penghulu</v>
          </cell>
        </row>
      </sheetData>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MENU (2)"/>
      <sheetName val="1"/>
      <sheetName val="II"/>
      <sheetName val="III"/>
      <sheetName val="IV"/>
      <sheetName val="V"/>
      <sheetName val="Sheet11"/>
      <sheetName val="VI"/>
      <sheetName val="KODE1"/>
      <sheetName val="IV (2)"/>
      <sheetName val="Sheet5"/>
      <sheetName val="Lamp IIc_utama"/>
      <sheetName val="Lamp_III SP_Pendidikan (2)"/>
      <sheetName val="Lamp_IV"/>
      <sheetName val="Lamp_5"/>
      <sheetName val="Lamp_6"/>
      <sheetName val="Lamp VII_PAK"/>
      <sheetName val="UKUR"/>
      <sheetName val="RB21"/>
      <sheetName val="SKP"/>
      <sheetName val="Prilaku"/>
      <sheetName val="DP3"/>
      <sheetName val="PPKP"/>
      <sheetName val="Menu Utama"/>
      <sheetName val="ProgramTK"/>
      <sheetName val="Bimlat"/>
      <sheetName val="Sheet4"/>
      <sheetName val="Identitas"/>
      <sheetName val="Sheet10"/>
      <sheetName val="Guru Kepsek"/>
      <sheetName val="Best Practice"/>
      <sheetName val="PTS"/>
      <sheetName val="Muda"/>
      <sheetName val="LapEva"/>
      <sheetName val="LapBimlat"/>
      <sheetName val="Verifikasi"/>
      <sheetName val="Ver1"/>
      <sheetName val="Ver1 (2)"/>
      <sheetName val="Ver1 (3)"/>
      <sheetName val="Ver1 (4)"/>
      <sheetName val="Ver1 (5)"/>
      <sheetName val="Ver1 (6)"/>
      <sheetName val="Ver1 (7)"/>
      <sheetName val="Ver1 (8)"/>
      <sheetName val="Ver1 (9)"/>
      <sheetName val="Ver1 (10)"/>
      <sheetName val="Madya"/>
      <sheetName val="Utama"/>
      <sheetName val="catatan"/>
      <sheetName val="COVER"/>
      <sheetName val="Slmt Dtg"/>
      <sheetName val="Menu pemb. KS"/>
      <sheetName val="Entry data awal"/>
      <sheetName val="Entry data-1"/>
      <sheetName val="HasSupAdm-1"/>
      <sheetName val="Rekomendasi-1"/>
      <sheetName val="Entry data-2"/>
      <sheetName val="HasSupAdm-2"/>
      <sheetName val="Rekomendasi-2"/>
      <sheetName val="Entry data-3"/>
      <sheetName val="HasSupAdm-3"/>
      <sheetName val="Rekomendasi-3"/>
      <sheetName val="Entry data-4"/>
      <sheetName val="HasSupAdm-4"/>
      <sheetName val="Rekomendasi-4"/>
      <sheetName val="Entry data-5"/>
      <sheetName val="HasSupAdm-5"/>
      <sheetName val="Rekomendasi-5"/>
      <sheetName val="Entry data-6"/>
      <sheetName val="HasSupAdm-6"/>
      <sheetName val="Rekomendasi-6"/>
      <sheetName val="Entry data-7"/>
      <sheetName val="HasSupAdm-7"/>
      <sheetName val="Rekomendasi-7"/>
      <sheetName val="Entry data-8"/>
      <sheetName val="HasSupAdm-8"/>
      <sheetName val="Rekomendasi-8"/>
      <sheetName val="Entry data-9"/>
      <sheetName val="HasSupAdm-9"/>
      <sheetName val="Rekomendasi-9"/>
      <sheetName val="Entry data-10"/>
      <sheetName val="HasSupAdm-10"/>
      <sheetName val="Rekomendasi-10"/>
      <sheetName val="SrtKet"/>
      <sheetName val="Entry data-1G"/>
      <sheetName val="HasSupAdm-1G"/>
      <sheetName val="Rek-1G"/>
      <sheetName val="Entry data-2G"/>
      <sheetName val="HasSupAdm-2G"/>
      <sheetName val="Rek-2G"/>
      <sheetName val="Entry data-3G"/>
      <sheetName val="HasSupAdm-3G"/>
      <sheetName val="Rek-3G"/>
      <sheetName val="Entry data-4G"/>
      <sheetName val="HasSupAdm-4G"/>
      <sheetName val="Rek-4G"/>
      <sheetName val="Entry data-5G"/>
      <sheetName val="HasSupAdm-5G"/>
      <sheetName val="Rek-5G"/>
      <sheetName val="Entry data-6G"/>
      <sheetName val="HasSupAdm-6G"/>
      <sheetName val="Rek-6G"/>
      <sheetName val="Entry data-7G"/>
      <sheetName val="HasSupAdm-7G"/>
      <sheetName val="Rek-7G"/>
      <sheetName val="Entry data-8G"/>
      <sheetName val="HasSupAdm-8G"/>
      <sheetName val="Rek-8G"/>
      <sheetName val="Entry data-9G"/>
      <sheetName val="HasSupAdm-9G"/>
      <sheetName val="Rek-9G"/>
      <sheetName val="Entry data-10G"/>
      <sheetName val="HasSupAdm-10G"/>
      <sheetName val="Rek-10G"/>
      <sheetName val="Surat Ket.G"/>
      <sheetName val="REKAP"/>
      <sheetName val="BAB IV-V"/>
      <sheetName val="MENU"/>
      <sheetName val="Sheet3-a-G"/>
      <sheetName val="Sheet3-G"/>
      <sheetName val="Sheet4 (2)"/>
      <sheetName val="Sheet5-G"/>
      <sheetName val="Sheet6-G"/>
      <sheetName val="Sheet7-G"/>
      <sheetName val="Sheet8 (2)"/>
      <sheetName val="Sheet9-G"/>
      <sheetName val="Sheet10-G"/>
      <sheetName val="Sheet11-G"/>
      <sheetName val="Srt.Ket-G"/>
      <sheetName val="Sheet13a-KS"/>
      <sheetName val="Sheet13-KS"/>
      <sheetName val="Sheet14-KS"/>
      <sheetName val="Sheet15-KS"/>
      <sheetName val="Sheet16-KS"/>
      <sheetName val="Srt.Ket-KS"/>
      <sheetName val="Daft. Hadir-KS"/>
      <sheetName val="BAB IV-V "/>
      <sheetName val="Menu-1"/>
      <sheetName val="PTS-Instr Data-Rekap-Srt Ket"/>
      <sheetName val="PTK-Instr Data-Rekap-Srt Ket"/>
      <sheetName val="BAB IV-V Gol.IV-D"/>
      <sheetName val="Proposal BAB IV-V Gol. &lt;IVD"/>
      <sheetName val="Contoh"/>
      <sheetName val="Penyusunan Prog"/>
      <sheetName val="Pemantauan"/>
      <sheetName val="Sheet3"/>
      <sheetName val="Sheet1"/>
      <sheetName val="1. Data Supervisi"/>
      <sheetName val="2. Cover Instrumen"/>
      <sheetName val="3. Instrumen "/>
      <sheetName val="4. Skor"/>
      <sheetName val="5. Lamp 1- Rekap Umum"/>
      <sheetName val="6. Laporan"/>
      <sheetName val="7. Hasil"/>
      <sheetName val="Sheet1 (2)"/>
      <sheetName val="1. Data Supervisi (2)"/>
      <sheetName val="2. Cover Instrumen (2)"/>
      <sheetName val="3. Instrumen  (2)"/>
      <sheetName val="4. Skor (2)"/>
      <sheetName val="5. Lamp 1- Rekap Umum (2)"/>
      <sheetName val="6. Laporan (2)"/>
      <sheetName val="7. Hasil (2)"/>
      <sheetName val="Sheet1 (3)"/>
      <sheetName val="1. Data Supervisi (3)"/>
      <sheetName val="2. Cover Instrumen (3)"/>
      <sheetName val="3. Instrumen  (3)"/>
      <sheetName val="4. Skor (3)"/>
      <sheetName val="5. Lamp 1- Rekap Umum (3)"/>
      <sheetName val="6. Laporan (3)"/>
      <sheetName val="7. Hasil (3)"/>
      <sheetName val="Sheet1 (4)"/>
      <sheetName val="1. Data Supervisi (4)"/>
      <sheetName val="2. Cover Instrumen (4)"/>
      <sheetName val="3. Instrumen  (4)"/>
      <sheetName val="4. Skor (4)"/>
      <sheetName val="5. Lamp 1- Rekap Umum (4)"/>
      <sheetName val="6. Laporan (4)"/>
      <sheetName val="7. Hasil (4)"/>
      <sheetName val="Sheet1 (5)"/>
      <sheetName val="1. Data Supervisi (5)"/>
      <sheetName val="2. Cover Instrumen (5)"/>
      <sheetName val="3. Instrumen  (5)"/>
      <sheetName val="4. Skor (5)"/>
      <sheetName val="5. Lamp 1- Rekap Umum (5)"/>
      <sheetName val="6. Laporan (5)"/>
      <sheetName val="7. Hasil (5)"/>
      <sheetName val="Sheet1 (6)"/>
      <sheetName val="1. Data Supervisi (6)"/>
      <sheetName val="2. Cover Instrumen (6)"/>
      <sheetName val="3. Instrumen  (6)"/>
      <sheetName val="4. Skor (6)"/>
      <sheetName val="5. Lamp 1- Rekap Umum (6)"/>
      <sheetName val="6. Laporan (6)"/>
      <sheetName val="7. Hasil (6)"/>
      <sheetName val="Sheet1 (7)"/>
      <sheetName val="1. Data Supervisi (7)"/>
      <sheetName val="2. Cover Instrumen (7)"/>
      <sheetName val="3. Instrumen  (7)"/>
      <sheetName val="4. Skor (7)"/>
      <sheetName val="5. Lamp 1- Rekap Umum (7)"/>
      <sheetName val="6. Laporan (7)"/>
      <sheetName val="7. Hasil (7)"/>
      <sheetName val="Sheet1 (8)"/>
      <sheetName val="1. Data Supervisi (8)"/>
      <sheetName val="2. Cover Instrumen (8)"/>
      <sheetName val="3. Instrumen  (8)"/>
      <sheetName val="4. Skor (8)"/>
      <sheetName val="5. Lamp 1- Rekap Umum (8)"/>
      <sheetName val="6. Laporan (8)"/>
      <sheetName val="7. Hasil (8)"/>
      <sheetName val="Sheet1 (9)"/>
      <sheetName val="1. Data Supervisi (9)"/>
      <sheetName val="2. Cover Instrumen (9)"/>
      <sheetName val="3. Instrumen  (9)"/>
      <sheetName val="4. Skor (9)"/>
      <sheetName val="5. Lamp 1- Rekap Umum (9)"/>
      <sheetName val="6. Laporan (9)"/>
      <sheetName val="7. Hasil (9)"/>
      <sheetName val="Sheet1 (10)"/>
      <sheetName val="1. Data Supervisi (10)"/>
      <sheetName val="2. Cover Instrumen (10)"/>
      <sheetName val="3. Instrumen  (10)"/>
      <sheetName val="4. Skor (10)"/>
      <sheetName val="5. Lamp 1- Rekap Umum (10)"/>
      <sheetName val="6. Laporan (10)"/>
      <sheetName val="7. Hasil (10)"/>
    </sheetNames>
    <sheetDataSet>
      <sheetData sheetId="0">
        <row r="23">
          <cell r="E23" t="str">
            <v>Dr. Rosilawti, M.Pd</v>
          </cell>
        </row>
        <row r="24">
          <cell r="E24" t="str">
            <v>196005201984121001</v>
          </cell>
        </row>
        <row r="38">
          <cell r="E38" t="str">
            <v>Jakarta Barat</v>
          </cell>
        </row>
        <row r="39">
          <cell r="E39" t="str">
            <v>7 April 2018</v>
          </cell>
        </row>
      </sheetData>
      <sheetData sheetId="1"/>
      <sheetData sheetId="2"/>
      <sheetData sheetId="3"/>
      <sheetData sheetId="4">
        <row r="500">
          <cell r="C500" t="str">
            <v>A</v>
          </cell>
        </row>
        <row r="501">
          <cell r="C501" t="str">
            <v>B</v>
          </cell>
        </row>
        <row r="502">
          <cell r="C502" t="str">
            <v>C</v>
          </cell>
        </row>
        <row r="503">
          <cell r="C503" t="str">
            <v>D</v>
          </cell>
        </row>
        <row r="504">
          <cell r="C504" t="str">
            <v>E</v>
          </cell>
        </row>
        <row r="505">
          <cell r="C505" t="str">
            <v>F</v>
          </cell>
        </row>
        <row r="506">
          <cell r="C506" t="str">
            <v>G</v>
          </cell>
        </row>
        <row r="507">
          <cell r="C507" t="str">
            <v>H</v>
          </cell>
        </row>
        <row r="508">
          <cell r="C508" t="str">
            <v>I</v>
          </cell>
        </row>
        <row r="509">
          <cell r="C509" t="str">
            <v>J</v>
          </cell>
        </row>
      </sheetData>
      <sheetData sheetId="5">
        <row r="537">
          <cell r="C537" t="str">
            <v>Pembina Utama Muda/  IV c</v>
          </cell>
        </row>
        <row r="538">
          <cell r="C538" t="str">
            <v>Penata/ III c</v>
          </cell>
        </row>
        <row r="539">
          <cell r="C539" t="str">
            <v>Penata Tk I/  III d</v>
          </cell>
        </row>
        <row r="540">
          <cell r="C540" t="str">
            <v>Pembina/ IV a</v>
          </cell>
        </row>
        <row r="541">
          <cell r="C541" t="str">
            <v>Pembina Tk I/  IV b</v>
          </cell>
        </row>
        <row r="542">
          <cell r="C542" t="str">
            <v>Pembina Utama Muda/  IV c</v>
          </cell>
        </row>
        <row r="543">
          <cell r="C543" t="str">
            <v>Pembina Utama Madya/  IV d</v>
          </cell>
        </row>
        <row r="544">
          <cell r="C544" t="str">
            <v>Pembina Utama/ IV e</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46">
          <cell r="D46">
            <v>1</v>
          </cell>
          <cell r="E46" t="str">
            <v>Penata/ III c</v>
          </cell>
          <cell r="F46" t="str">
            <v>Pengawas Muda</v>
          </cell>
        </row>
        <row r="47">
          <cell r="D47">
            <v>2</v>
          </cell>
          <cell r="E47" t="str">
            <v>Penata Tk I/  III d</v>
          </cell>
          <cell r="F47" t="str">
            <v>Pengawas Muda</v>
          </cell>
        </row>
        <row r="48">
          <cell r="D48">
            <v>3</v>
          </cell>
          <cell r="E48" t="str">
            <v>Pembina/ IV a</v>
          </cell>
          <cell r="F48" t="str">
            <v>Pengawas Madya</v>
          </cell>
        </row>
        <row r="49">
          <cell r="D49">
            <v>4</v>
          </cell>
          <cell r="E49" t="str">
            <v>Pembina Tk I/  IV b</v>
          </cell>
          <cell r="F49" t="str">
            <v>Pengawas Madya</v>
          </cell>
        </row>
        <row r="50">
          <cell r="D50">
            <v>5</v>
          </cell>
          <cell r="E50" t="str">
            <v>Pembina Utama Muda/  IV c</v>
          </cell>
          <cell r="F50" t="str">
            <v>Pengawas Madya</v>
          </cell>
        </row>
        <row r="51">
          <cell r="D51">
            <v>6</v>
          </cell>
          <cell r="E51" t="str">
            <v>Pembina Utama Madya/  IV d</v>
          </cell>
          <cell r="F51" t="str">
            <v>Pengawas Utama</v>
          </cell>
        </row>
        <row r="52">
          <cell r="D52">
            <v>7</v>
          </cell>
          <cell r="E52" t="str">
            <v>Pembina Utama/ IV e</v>
          </cell>
          <cell r="F52" t="str">
            <v>Pengawas Utama</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ow r="22">
          <cell r="M22">
            <v>1</v>
          </cell>
          <cell r="N22" t="str">
            <v>Pengatur Muda</v>
          </cell>
          <cell r="O22" t="str">
            <v>II/a</v>
          </cell>
          <cell r="P22" t="str">
            <v>Guru</v>
          </cell>
        </row>
        <row r="23">
          <cell r="M23">
            <v>2</v>
          </cell>
          <cell r="N23" t="str">
            <v>Pengatur Muda Tk I</v>
          </cell>
          <cell r="O23" t="str">
            <v>II/b</v>
          </cell>
          <cell r="P23" t="str">
            <v>Guru</v>
          </cell>
        </row>
        <row r="24">
          <cell r="M24">
            <v>3</v>
          </cell>
          <cell r="N24" t="str">
            <v>Pengatur</v>
          </cell>
          <cell r="O24" t="str">
            <v>II/c</v>
          </cell>
          <cell r="P24" t="str">
            <v>Guru</v>
          </cell>
        </row>
        <row r="25">
          <cell r="M25">
            <v>4</v>
          </cell>
          <cell r="N25" t="str">
            <v>Pengatur Tk I</v>
          </cell>
          <cell r="O25" t="str">
            <v>II/d</v>
          </cell>
          <cell r="P25" t="str">
            <v>Guru</v>
          </cell>
        </row>
        <row r="26">
          <cell r="M26">
            <v>5</v>
          </cell>
          <cell r="N26" t="str">
            <v>Penata Muda</v>
          </cell>
          <cell r="O26" t="str">
            <v>III/a</v>
          </cell>
          <cell r="P26" t="str">
            <v>Guru Pertama</v>
          </cell>
        </row>
        <row r="27">
          <cell r="M27">
            <v>6</v>
          </cell>
          <cell r="N27" t="str">
            <v>Penata Muda Tk I</v>
          </cell>
          <cell r="O27" t="str">
            <v>III/b</v>
          </cell>
          <cell r="P27" t="str">
            <v>Guru Pertama</v>
          </cell>
        </row>
        <row r="28">
          <cell r="M28">
            <v>7</v>
          </cell>
          <cell r="N28" t="str">
            <v>Penata</v>
          </cell>
          <cell r="O28" t="str">
            <v>III/c</v>
          </cell>
          <cell r="P28" t="str">
            <v>Guru Muda</v>
          </cell>
        </row>
        <row r="29">
          <cell r="M29">
            <v>8</v>
          </cell>
          <cell r="N29" t="str">
            <v>Penata Tk I</v>
          </cell>
          <cell r="O29" t="str">
            <v>III/d</v>
          </cell>
          <cell r="P29" t="str">
            <v>Guru Muda</v>
          </cell>
        </row>
        <row r="30">
          <cell r="M30">
            <v>9</v>
          </cell>
          <cell r="N30" t="str">
            <v>Pembina</v>
          </cell>
          <cell r="O30" t="str">
            <v>IV/a</v>
          </cell>
          <cell r="P30" t="str">
            <v>Guru Madya</v>
          </cell>
        </row>
        <row r="31">
          <cell r="M31">
            <v>10</v>
          </cell>
          <cell r="N31" t="str">
            <v>Pembina Tk I</v>
          </cell>
          <cell r="O31" t="str">
            <v>IV/b</v>
          </cell>
          <cell r="P31" t="str">
            <v>Guru Madya</v>
          </cell>
        </row>
        <row r="32">
          <cell r="M32">
            <v>11</v>
          </cell>
          <cell r="N32" t="str">
            <v>Pembina Utama Muda</v>
          </cell>
          <cell r="O32" t="str">
            <v>IV/c</v>
          </cell>
          <cell r="P32" t="str">
            <v>Guru Madya</v>
          </cell>
        </row>
        <row r="33">
          <cell r="M33">
            <v>12</v>
          </cell>
          <cell r="N33" t="str">
            <v>Pembina Utama Madya</v>
          </cell>
          <cell r="O33" t="str">
            <v>IV/d</v>
          </cell>
          <cell r="P33" t="str">
            <v>Guru Utama</v>
          </cell>
        </row>
      </sheetData>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sSMK"/>
      <sheetName val="ksSDMP"/>
      <sheetName val="ksTIK"/>
      <sheetName val="ksBK"/>
      <sheetName val="Sheet2"/>
      <sheetName val="ksPAUDSD"/>
      <sheetName val="DATA"/>
      <sheetName val="KH"/>
      <sheetName val="Respon"/>
      <sheetName val="Proporsi"/>
      <sheetName val="Idx"/>
      <sheetName val="Sheet1"/>
      <sheetName val="PAUDSD"/>
      <sheetName val="SDMP"/>
      <sheetName val="PK"/>
      <sheetName val="TIK"/>
      <sheetName val="BK"/>
      <sheetName val="SMK"/>
      <sheetName val="HOME"/>
      <sheetName val="Guna"/>
      <sheetName val="SJWTpk"/>
      <sheetName val="SJWTtik"/>
      <sheetName val="SJWTbk"/>
      <sheetName val="SJWT"/>
      <sheetName val="KS03"/>
      <sheetName val="KS02"/>
      <sheetName val="KS01"/>
      <sheetName val="PK2"/>
      <sheetName val="PK1"/>
      <sheetName val="TK2"/>
      <sheetName val="TK1"/>
      <sheetName val="MP01"/>
      <sheetName val="MP02"/>
      <sheetName val="BK01"/>
      <sheetName val="BK02"/>
      <sheetName val="TIK01"/>
      <sheetName val="TIK02"/>
      <sheetName val="DUDI2"/>
      <sheetName val="DUDI"/>
      <sheetName val="Guru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19">
          <cell r="K19" t="str">
            <v>Guru Mata Pelajaran</v>
          </cell>
        </row>
        <row r="20">
          <cell r="K20" t="str">
            <v>Guru BK</v>
          </cell>
        </row>
        <row r="21">
          <cell r="K21" t="str">
            <v>Guru TIK</v>
          </cell>
        </row>
        <row r="22">
          <cell r="K22" t="str">
            <v>Guru Kelas Tinggi</v>
          </cell>
        </row>
        <row r="23">
          <cell r="K23" t="str">
            <v>Guru Kelas Rendah/TK/P Khusus</v>
          </cell>
        </row>
        <row r="24">
          <cell r="K24" t="str">
            <v>Guru Kejuruan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
      <sheetName val="conv"/>
      <sheetName val="data"/>
      <sheetName val="DATA MC"/>
      <sheetName val="NILAI MC"/>
      <sheetName val="analisi MC"/>
      <sheetName val="PROSES MC"/>
      <sheetName val="GRFIK MC"/>
      <sheetName val="DATA UR"/>
      <sheetName val="Proses UR"/>
      <sheetName val="Analisis UR"/>
      <sheetName val="NILAI UR"/>
      <sheetName val="DIAGRAM UR"/>
      <sheetName val="Nil Gab"/>
      <sheetName val="Remed"/>
      <sheetName val="Perbaikan"/>
      <sheetName val="Saran"/>
      <sheetName val="dasek"/>
      <sheetName val="dagur"/>
      <sheetName val="sik1"/>
      <sheetName val="sik2"/>
      <sheetName val="sik3"/>
      <sheetName val="sik4"/>
      <sheetName val="sik5"/>
      <sheetName val="sik6"/>
      <sheetName val="sik7"/>
      <sheetName val="sik8"/>
      <sheetName val="rek1"/>
      <sheetName val="rek2"/>
      <sheetName val="rek3"/>
      <sheetName val="rek4"/>
      <sheetName val="rek5"/>
      <sheetName val="rek6"/>
      <sheetName val="rek7"/>
      <sheetName val="rek8"/>
      <sheetName val="ket1"/>
      <sheetName val="ket2"/>
      <sheetName val="ket3"/>
      <sheetName val="ket4"/>
      <sheetName val="ket5"/>
      <sheetName val="ket6"/>
      <sheetName val="ket7"/>
      <sheetName val="ket8"/>
      <sheetName val="peng1"/>
      <sheetName val="peng2"/>
      <sheetName val="peng3"/>
      <sheetName val="peng4"/>
      <sheetName val="peng5"/>
      <sheetName val="peng6"/>
      <sheetName val="peng7"/>
      <sheetName val="peng8"/>
      <sheetName val="Sheet1"/>
      <sheetName val="dasiUt"/>
      <sheetName val="jur1"/>
      <sheetName val="jur2"/>
      <sheetName val="jur3"/>
      <sheetName val="jur4"/>
      <sheetName val="jur5"/>
      <sheetName val="jur6"/>
      <sheetName val="jur7"/>
      <sheetName val="jur8"/>
      <sheetName val="ab1"/>
      <sheetName val="ab2"/>
      <sheetName val="ab3"/>
      <sheetName val="ab4"/>
      <sheetName val="ab5"/>
      <sheetName val="ab6"/>
      <sheetName val="ab7"/>
      <sheetName val="ab8"/>
      <sheetName val="skl"/>
      <sheetName val="ki-kd"/>
      <sheetName val="kkm"/>
      <sheetName val="kaldik"/>
      <sheetName val="me"/>
      <sheetName val="jadNgajar"/>
      <sheetName val="prota"/>
      <sheetName val="Buku"/>
      <sheetName val="EtikGuru"/>
      <sheetName val="IkrarGuru"/>
      <sheetName val="prosem"/>
      <sheetName val="Nil"/>
      <sheetName val="Pembiasaan"/>
      <sheetName val="Sila_Rpp"/>
      <sheetName val="analisis HU"/>
      <sheetName val="MenuKis"/>
      <sheetName val="DataKis"/>
      <sheetName val="database"/>
      <sheetName val="KartuPG"/>
      <sheetName val="RSoalEs"/>
      <sheetName val="Cover"/>
      <sheetName val="kartuESy"/>
      <sheetName val="Tatib"/>
      <sheetName val="DS"/>
      <sheetName val="EvDiri"/>
      <sheetName val="TindakL"/>
      <sheetName val="cov"/>
      <sheetName val="cov1"/>
      <sheetName val="admG"/>
      <sheetName val="Menut"/>
      <sheetName val="pering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4">
          <cell r="B4" t="str">
            <v xml:space="preserve"> 1-A</v>
          </cell>
          <cell r="C4" t="str">
            <v xml:space="preserve"> 1-B</v>
          </cell>
          <cell r="D4" t="str">
            <v xml:space="preserve"> 1-C</v>
          </cell>
          <cell r="E4" t="str">
            <v xml:space="preserve"> 1-D</v>
          </cell>
          <cell r="F4" t="str">
            <v xml:space="preserve"> 1-E</v>
          </cell>
          <cell r="G4" t="str">
            <v xml:space="preserve"> 1-F</v>
          </cell>
          <cell r="H4" t="str">
            <v xml:space="preserve"> 1-G</v>
          </cell>
          <cell r="I4" t="str">
            <v xml:space="preserve"> 1-H</v>
          </cell>
        </row>
        <row r="5">
          <cell r="B5" t="str">
            <v>ACHMAD SYAUQI</v>
          </cell>
          <cell r="C5" t="str">
            <v>ACHMAD BUKHORI</v>
          </cell>
          <cell r="D5">
            <v>0</v>
          </cell>
          <cell r="E5">
            <v>0</v>
          </cell>
          <cell r="F5">
            <v>0</v>
          </cell>
          <cell r="G5">
            <v>0</v>
          </cell>
          <cell r="H5">
            <v>0</v>
          </cell>
          <cell r="I5">
            <v>0</v>
          </cell>
        </row>
        <row r="6">
          <cell r="B6" t="str">
            <v>ADAM NURSAID</v>
          </cell>
          <cell r="C6" t="str">
            <v>ADRIAN IBNU RACHMAN</v>
          </cell>
          <cell r="D6">
            <v>0</v>
          </cell>
          <cell r="E6">
            <v>0</v>
          </cell>
          <cell r="F6">
            <v>0</v>
          </cell>
          <cell r="G6">
            <v>0</v>
          </cell>
          <cell r="H6">
            <v>0</v>
          </cell>
          <cell r="I6">
            <v>0</v>
          </cell>
        </row>
        <row r="7">
          <cell r="B7" t="str">
            <v>ADZRA NADIRA NUR AMALIA</v>
          </cell>
          <cell r="C7" t="str">
            <v>ALI SYEH ABU BAKAR</v>
          </cell>
          <cell r="D7">
            <v>0</v>
          </cell>
          <cell r="E7">
            <v>0</v>
          </cell>
          <cell r="F7">
            <v>0</v>
          </cell>
          <cell r="G7">
            <v>0</v>
          </cell>
          <cell r="H7">
            <v>0</v>
          </cell>
          <cell r="I7">
            <v>0</v>
          </cell>
        </row>
        <row r="8">
          <cell r="B8" t="str">
            <v>AHMANDA SYAHRIL GUSMAN</v>
          </cell>
          <cell r="C8" t="str">
            <v>ANDRE NAUFAL PUTRA</v>
          </cell>
          <cell r="D8">
            <v>0</v>
          </cell>
          <cell r="E8">
            <v>0</v>
          </cell>
          <cell r="F8">
            <v>0</v>
          </cell>
          <cell r="G8">
            <v>0</v>
          </cell>
          <cell r="H8">
            <v>0</v>
          </cell>
          <cell r="I8">
            <v>0</v>
          </cell>
        </row>
        <row r="9">
          <cell r="B9" t="str">
            <v>ARDIYANSYAH TEGAR RAMADAN</v>
          </cell>
          <cell r="C9" t="str">
            <v>ANGEL AULIA RAHMA</v>
          </cell>
          <cell r="D9">
            <v>0</v>
          </cell>
          <cell r="E9">
            <v>0</v>
          </cell>
          <cell r="F9">
            <v>0</v>
          </cell>
          <cell r="G9">
            <v>0</v>
          </cell>
          <cell r="H9">
            <v>0</v>
          </cell>
          <cell r="I9">
            <v>0</v>
          </cell>
        </row>
        <row r="10">
          <cell r="B10" t="str">
            <v>BONA  RAMADHANI  ZEIN</v>
          </cell>
          <cell r="C10" t="str">
            <v>CRUS PRADANA KUSUMA</v>
          </cell>
          <cell r="D10">
            <v>0</v>
          </cell>
          <cell r="E10">
            <v>0</v>
          </cell>
          <cell r="F10">
            <v>0</v>
          </cell>
          <cell r="G10">
            <v>0</v>
          </cell>
          <cell r="H10">
            <v>0</v>
          </cell>
          <cell r="I10">
            <v>0</v>
          </cell>
        </row>
        <row r="11">
          <cell r="B11" t="str">
            <v>BUNGA AMELIA</v>
          </cell>
          <cell r="C11" t="str">
            <v>DEA SITI APRIANTI</v>
          </cell>
          <cell r="D11">
            <v>0</v>
          </cell>
          <cell r="E11">
            <v>0</v>
          </cell>
          <cell r="F11">
            <v>0</v>
          </cell>
          <cell r="G11">
            <v>0</v>
          </cell>
          <cell r="H11">
            <v>0</v>
          </cell>
          <cell r="I11">
            <v>0</v>
          </cell>
        </row>
        <row r="12">
          <cell r="B12" t="str">
            <v>CHELSY MILKA NAIYALA SHOFYAN</v>
          </cell>
          <cell r="C12" t="str">
            <v>DHINI ARETA PUTRI PURWANTO</v>
          </cell>
          <cell r="D12">
            <v>0</v>
          </cell>
          <cell r="E12">
            <v>0</v>
          </cell>
          <cell r="F12">
            <v>0</v>
          </cell>
          <cell r="G12">
            <v>0</v>
          </cell>
          <cell r="H12">
            <v>0</v>
          </cell>
          <cell r="I12">
            <v>0</v>
          </cell>
        </row>
        <row r="13">
          <cell r="B13" t="str">
            <v>DANANG PRASETYO</v>
          </cell>
          <cell r="C13" t="str">
            <v>EKA PUTRI WULANDARI</v>
          </cell>
          <cell r="D13">
            <v>0</v>
          </cell>
          <cell r="E13">
            <v>0</v>
          </cell>
          <cell r="F13">
            <v>0</v>
          </cell>
          <cell r="G13">
            <v>0</v>
          </cell>
          <cell r="H13">
            <v>0</v>
          </cell>
          <cell r="I13">
            <v>0</v>
          </cell>
        </row>
        <row r="14">
          <cell r="B14" t="str">
            <v>DANIEL SAMUEL TUPALESSY</v>
          </cell>
          <cell r="C14" t="str">
            <v>FABIAN AHMAD KHALIEF</v>
          </cell>
          <cell r="D14">
            <v>0</v>
          </cell>
          <cell r="E14">
            <v>0</v>
          </cell>
          <cell r="F14">
            <v>0</v>
          </cell>
          <cell r="G14">
            <v>0</v>
          </cell>
          <cell r="H14">
            <v>0</v>
          </cell>
          <cell r="I14">
            <v>0</v>
          </cell>
        </row>
        <row r="15">
          <cell r="B15" t="str">
            <v>DUTA FAUZY DWITAMA</v>
          </cell>
          <cell r="C15" t="str">
            <v>FADIA QABILA PUTRI CANDRA</v>
          </cell>
          <cell r="D15">
            <v>0</v>
          </cell>
          <cell r="E15">
            <v>0</v>
          </cell>
          <cell r="F15">
            <v>0</v>
          </cell>
          <cell r="G15">
            <v>0</v>
          </cell>
          <cell r="H15">
            <v>0</v>
          </cell>
          <cell r="I15">
            <v>0</v>
          </cell>
        </row>
        <row r="16">
          <cell r="B16" t="str">
            <v>DWI RAMADHAN</v>
          </cell>
          <cell r="C16" t="str">
            <v>FAJAR RAMADHAN</v>
          </cell>
          <cell r="D16">
            <v>0</v>
          </cell>
          <cell r="E16">
            <v>0</v>
          </cell>
          <cell r="F16">
            <v>0</v>
          </cell>
          <cell r="G16">
            <v>0</v>
          </cell>
          <cell r="H16">
            <v>0</v>
          </cell>
          <cell r="I16">
            <v>0</v>
          </cell>
        </row>
        <row r="17">
          <cell r="B17" t="str">
            <v>ELSA RAHMA ALYA</v>
          </cell>
          <cell r="C17" t="str">
            <v>FATIMATU ZAHRA</v>
          </cell>
          <cell r="D17">
            <v>0</v>
          </cell>
          <cell r="E17">
            <v>0</v>
          </cell>
          <cell r="F17">
            <v>0</v>
          </cell>
          <cell r="G17">
            <v>0</v>
          </cell>
          <cell r="H17">
            <v>0</v>
          </cell>
          <cell r="I17">
            <v>0</v>
          </cell>
        </row>
        <row r="18">
          <cell r="B18" t="str">
            <v>FIKRI RAMDHONI HIDAYAT</v>
          </cell>
          <cell r="C18" t="str">
            <v>FERDIANSYAH MAULANA</v>
          </cell>
          <cell r="D18">
            <v>0</v>
          </cell>
          <cell r="E18">
            <v>0</v>
          </cell>
          <cell r="F18">
            <v>0</v>
          </cell>
          <cell r="G18">
            <v>0</v>
          </cell>
          <cell r="H18">
            <v>0</v>
          </cell>
          <cell r="I18">
            <v>0</v>
          </cell>
        </row>
        <row r="19">
          <cell r="B19" t="str">
            <v>GHINA ARLIENTA BALQIS KISWARA</v>
          </cell>
          <cell r="C19" t="str">
            <v>FERRY KUSUMA</v>
          </cell>
          <cell r="D19">
            <v>0</v>
          </cell>
          <cell r="E19">
            <v>0</v>
          </cell>
          <cell r="F19">
            <v>0</v>
          </cell>
          <cell r="G19">
            <v>0</v>
          </cell>
          <cell r="H19">
            <v>0</v>
          </cell>
          <cell r="I19">
            <v>0</v>
          </cell>
        </row>
        <row r="20">
          <cell r="B20" t="str">
            <v>GIDEON RAEL</v>
          </cell>
          <cell r="C20" t="str">
            <v>FITRAH AMELIA PRATIWI</v>
          </cell>
          <cell r="D20">
            <v>0</v>
          </cell>
          <cell r="E20">
            <v>0</v>
          </cell>
          <cell r="F20">
            <v>0</v>
          </cell>
          <cell r="G20">
            <v>0</v>
          </cell>
          <cell r="H20">
            <v>0</v>
          </cell>
          <cell r="I20">
            <v>0</v>
          </cell>
        </row>
        <row r="21">
          <cell r="B21" t="str">
            <v>GIVORSCHY SOPLANTILA</v>
          </cell>
          <cell r="C21" t="str">
            <v>FITRIYANIH</v>
          </cell>
          <cell r="D21">
            <v>0</v>
          </cell>
          <cell r="E21">
            <v>0</v>
          </cell>
          <cell r="F21">
            <v>0</v>
          </cell>
          <cell r="G21">
            <v>0</v>
          </cell>
          <cell r="H21">
            <v>0</v>
          </cell>
          <cell r="I21">
            <v>0</v>
          </cell>
        </row>
        <row r="22">
          <cell r="B22" t="str">
            <v>HAYFA NADIRA ANDRIANSYAH</v>
          </cell>
          <cell r="C22" t="str">
            <v>GUNTUR WIBOWO</v>
          </cell>
          <cell r="D22">
            <v>0</v>
          </cell>
          <cell r="E22">
            <v>0</v>
          </cell>
          <cell r="F22">
            <v>0</v>
          </cell>
          <cell r="G22">
            <v>0</v>
          </cell>
          <cell r="H22">
            <v>0</v>
          </cell>
          <cell r="I22">
            <v>0</v>
          </cell>
        </row>
        <row r="23">
          <cell r="B23" t="str">
            <v>ILHAM ISLAMET</v>
          </cell>
          <cell r="C23" t="str">
            <v>HEDI HIDAYAT</v>
          </cell>
          <cell r="D23">
            <v>0</v>
          </cell>
          <cell r="E23">
            <v>0</v>
          </cell>
          <cell r="F23">
            <v>0</v>
          </cell>
          <cell r="G23">
            <v>0</v>
          </cell>
          <cell r="H23">
            <v>0</v>
          </cell>
          <cell r="I23">
            <v>0</v>
          </cell>
        </row>
        <row r="24">
          <cell r="B24" t="str">
            <v>KARIN THERESIA</v>
          </cell>
          <cell r="C24" t="str">
            <v>IMAM AMIN NULLAH</v>
          </cell>
          <cell r="D24">
            <v>0</v>
          </cell>
          <cell r="E24">
            <v>0</v>
          </cell>
          <cell r="F24">
            <v>0</v>
          </cell>
          <cell r="G24">
            <v>0</v>
          </cell>
          <cell r="H24">
            <v>0</v>
          </cell>
          <cell r="I24">
            <v>0</v>
          </cell>
        </row>
        <row r="25">
          <cell r="B25" t="str">
            <v>MARIA MARGARETHA AUGUSTYNA</v>
          </cell>
          <cell r="C25" t="str">
            <v>MAYA DWI RAMADHANI</v>
          </cell>
          <cell r="D25">
            <v>0</v>
          </cell>
          <cell r="E25">
            <v>0</v>
          </cell>
          <cell r="F25">
            <v>0</v>
          </cell>
          <cell r="G25">
            <v>0</v>
          </cell>
          <cell r="H25">
            <v>0</v>
          </cell>
          <cell r="I25">
            <v>0</v>
          </cell>
        </row>
        <row r="26">
          <cell r="B26" t="str">
            <v>MARSELLA FAJ'RI DEHAN PRATAMA</v>
          </cell>
          <cell r="C26" t="str">
            <v>MOCHAMMAD BIMO SETIAWAN</v>
          </cell>
          <cell r="D26">
            <v>0</v>
          </cell>
          <cell r="E26">
            <v>0</v>
          </cell>
          <cell r="F26">
            <v>0</v>
          </cell>
          <cell r="G26">
            <v>0</v>
          </cell>
          <cell r="H26">
            <v>0</v>
          </cell>
          <cell r="I26">
            <v>0</v>
          </cell>
        </row>
        <row r="27">
          <cell r="B27" t="str">
            <v>MUHAMMAD ABDAN SYAKURO SIMBOLON</v>
          </cell>
          <cell r="C27" t="str">
            <v>MUHAMMAD NAJWAN PUTRA</v>
          </cell>
          <cell r="D27">
            <v>0</v>
          </cell>
          <cell r="E27">
            <v>0</v>
          </cell>
          <cell r="F27">
            <v>0</v>
          </cell>
          <cell r="G27">
            <v>0</v>
          </cell>
          <cell r="H27">
            <v>0</v>
          </cell>
          <cell r="I27">
            <v>0</v>
          </cell>
        </row>
        <row r="28">
          <cell r="B28" t="str">
            <v>MUHAMMAD ILHAM HILMI</v>
          </cell>
          <cell r="C28" t="str">
            <v>MUHAMMAD REVA ABYAN ISLAMI</v>
          </cell>
          <cell r="D28">
            <v>0</v>
          </cell>
          <cell r="E28">
            <v>0</v>
          </cell>
          <cell r="F28">
            <v>0</v>
          </cell>
          <cell r="G28">
            <v>0</v>
          </cell>
          <cell r="H28">
            <v>0</v>
          </cell>
          <cell r="I28">
            <v>0</v>
          </cell>
        </row>
        <row r="29">
          <cell r="B29" t="str">
            <v>MUHAMMAD RAVA ABIYYU ISLAMI</v>
          </cell>
          <cell r="C29" t="str">
            <v>NAOVAL NUR FAHLEFI</v>
          </cell>
          <cell r="D29">
            <v>0</v>
          </cell>
          <cell r="E29">
            <v>0</v>
          </cell>
          <cell r="F29">
            <v>0</v>
          </cell>
          <cell r="G29">
            <v>0</v>
          </cell>
          <cell r="H29">
            <v>0</v>
          </cell>
          <cell r="I29">
            <v>0</v>
          </cell>
        </row>
        <row r="30">
          <cell r="B30" t="str">
            <v>NANDAR ADE PUTRA</v>
          </cell>
          <cell r="C30" t="str">
            <v>RAHMAH CHANTIKA RUSTIYONO PUTR</v>
          </cell>
          <cell r="D30">
            <v>0</v>
          </cell>
          <cell r="E30">
            <v>0</v>
          </cell>
          <cell r="F30">
            <v>0</v>
          </cell>
          <cell r="G30">
            <v>0</v>
          </cell>
          <cell r="H30">
            <v>0</v>
          </cell>
          <cell r="I30">
            <v>0</v>
          </cell>
        </row>
        <row r="31">
          <cell r="B31" t="str">
            <v>NATASYA ZAHRA RIYANTI</v>
          </cell>
          <cell r="C31" t="str">
            <v>RAHMAH HIDAYAH</v>
          </cell>
          <cell r="D31">
            <v>0</v>
          </cell>
          <cell r="E31">
            <v>0</v>
          </cell>
          <cell r="F31">
            <v>0</v>
          </cell>
          <cell r="G31">
            <v>0</v>
          </cell>
          <cell r="H31">
            <v>0</v>
          </cell>
          <cell r="I31">
            <v>0</v>
          </cell>
        </row>
        <row r="32">
          <cell r="B32" t="str">
            <v>NOVA JOJOR</v>
          </cell>
          <cell r="C32" t="str">
            <v>RAINER ADITYATAMA</v>
          </cell>
          <cell r="D32">
            <v>0</v>
          </cell>
          <cell r="E32">
            <v>0</v>
          </cell>
          <cell r="F32">
            <v>0</v>
          </cell>
          <cell r="G32">
            <v>0</v>
          </cell>
          <cell r="H32">
            <v>0</v>
          </cell>
          <cell r="I32">
            <v>0</v>
          </cell>
        </row>
        <row r="33">
          <cell r="B33" t="str">
            <v>NOVA KHAIRANI AKHZA</v>
          </cell>
          <cell r="C33" t="str">
            <v>RIASTANIA ANJANI</v>
          </cell>
          <cell r="D33">
            <v>0</v>
          </cell>
          <cell r="E33">
            <v>0</v>
          </cell>
          <cell r="F33">
            <v>0</v>
          </cell>
          <cell r="G33">
            <v>0</v>
          </cell>
          <cell r="H33">
            <v>0</v>
          </cell>
          <cell r="I33">
            <v>0</v>
          </cell>
        </row>
        <row r="34">
          <cell r="B34" t="str">
            <v>PUTRA EKA WIBOWO</v>
          </cell>
          <cell r="C34" t="str">
            <v>RIFAT VALDERAMA</v>
          </cell>
          <cell r="D34">
            <v>0</v>
          </cell>
          <cell r="E34">
            <v>0</v>
          </cell>
          <cell r="F34">
            <v>0</v>
          </cell>
          <cell r="G34">
            <v>0</v>
          </cell>
          <cell r="H34">
            <v>0</v>
          </cell>
          <cell r="I34">
            <v>0</v>
          </cell>
        </row>
        <row r="35">
          <cell r="B35" t="str">
            <v>RIANA KHOIRUN NISSA</v>
          </cell>
          <cell r="C35" t="str">
            <v>SADDAM ARYO PUTRANTO</v>
          </cell>
          <cell r="D35">
            <v>0</v>
          </cell>
          <cell r="E35">
            <v>0</v>
          </cell>
          <cell r="F35">
            <v>0</v>
          </cell>
          <cell r="G35">
            <v>0</v>
          </cell>
          <cell r="H35">
            <v>0</v>
          </cell>
          <cell r="I35">
            <v>0</v>
          </cell>
        </row>
        <row r="36">
          <cell r="B36" t="str">
            <v>RIZKY AZKA RAMADHAN</v>
          </cell>
          <cell r="C36" t="str">
            <v>SAFIRA RAMADHANI BUDIMAN</v>
          </cell>
          <cell r="D36">
            <v>0</v>
          </cell>
          <cell r="E36">
            <v>0</v>
          </cell>
          <cell r="F36">
            <v>0</v>
          </cell>
          <cell r="G36">
            <v>0</v>
          </cell>
          <cell r="H36">
            <v>0</v>
          </cell>
          <cell r="I36">
            <v>0</v>
          </cell>
        </row>
        <row r="37">
          <cell r="B37" t="str">
            <v>SHARFANI RAMADHAN OKTAVIANTO</v>
          </cell>
          <cell r="C37" t="str">
            <v>SALMA SABRINA</v>
          </cell>
          <cell r="D37">
            <v>0</v>
          </cell>
          <cell r="E37">
            <v>0</v>
          </cell>
          <cell r="F37">
            <v>0</v>
          </cell>
          <cell r="G37">
            <v>0</v>
          </cell>
          <cell r="H37">
            <v>0</v>
          </cell>
          <cell r="I37">
            <v>0</v>
          </cell>
        </row>
        <row r="38">
          <cell r="B38" t="str">
            <v>SYAIPUL BASYRI</v>
          </cell>
          <cell r="C38" t="str">
            <v>SYAKIRA SALSABILA</v>
          </cell>
          <cell r="D38">
            <v>0</v>
          </cell>
          <cell r="E38">
            <v>0</v>
          </cell>
          <cell r="F38">
            <v>0</v>
          </cell>
          <cell r="G38">
            <v>0</v>
          </cell>
          <cell r="H38">
            <v>0</v>
          </cell>
          <cell r="I38">
            <v>0</v>
          </cell>
        </row>
        <row r="39">
          <cell r="B39" t="str">
            <v>SYIPA AMANATUNNISA</v>
          </cell>
          <cell r="C39" t="str">
            <v>ZHIRA SALSABILLA SYARIEL</v>
          </cell>
          <cell r="D39">
            <v>0</v>
          </cell>
          <cell r="E39">
            <v>0</v>
          </cell>
          <cell r="F39">
            <v>0</v>
          </cell>
          <cell r="G39">
            <v>0</v>
          </cell>
          <cell r="H39">
            <v>0</v>
          </cell>
          <cell r="I39">
            <v>0</v>
          </cell>
        </row>
        <row r="40">
          <cell r="B40" t="str">
            <v>YOSHIKA PUTRI KEZIA WULANDARI</v>
          </cell>
          <cell r="C40">
            <v>0</v>
          </cell>
          <cell r="D40">
            <v>0</v>
          </cell>
          <cell r="E40">
            <v>0</v>
          </cell>
          <cell r="F40">
            <v>0</v>
          </cell>
          <cell r="G40">
            <v>0</v>
          </cell>
          <cell r="H40">
            <v>0</v>
          </cell>
          <cell r="I40">
            <v>0</v>
          </cell>
        </row>
        <row r="41">
          <cell r="B41">
            <v>0</v>
          </cell>
          <cell r="C41">
            <v>0</v>
          </cell>
          <cell r="D41">
            <v>0</v>
          </cell>
          <cell r="E41">
            <v>0</v>
          </cell>
          <cell r="F41">
            <v>0</v>
          </cell>
          <cell r="G41">
            <v>0</v>
          </cell>
          <cell r="H41">
            <v>0</v>
          </cell>
          <cell r="I41">
            <v>0</v>
          </cell>
        </row>
        <row r="42">
          <cell r="B42">
            <v>0</v>
          </cell>
          <cell r="C42">
            <v>0</v>
          </cell>
          <cell r="D42">
            <v>0</v>
          </cell>
          <cell r="E42">
            <v>0</v>
          </cell>
          <cell r="F42">
            <v>0</v>
          </cell>
          <cell r="G42">
            <v>0</v>
          </cell>
          <cell r="H42">
            <v>0</v>
          </cell>
          <cell r="I42">
            <v>0</v>
          </cell>
        </row>
        <row r="43">
          <cell r="B43">
            <v>0</v>
          </cell>
          <cell r="C43">
            <v>0</v>
          </cell>
          <cell r="D43">
            <v>0</v>
          </cell>
          <cell r="E43">
            <v>0</v>
          </cell>
          <cell r="F43">
            <v>0</v>
          </cell>
          <cell r="G43">
            <v>0</v>
          </cell>
          <cell r="H43">
            <v>0</v>
          </cell>
          <cell r="I43">
            <v>0</v>
          </cell>
        </row>
        <row r="44">
          <cell r="B44">
            <v>0</v>
          </cell>
          <cell r="C44">
            <v>0</v>
          </cell>
          <cell r="D44">
            <v>0</v>
          </cell>
          <cell r="E44">
            <v>0</v>
          </cell>
          <cell r="F44">
            <v>0</v>
          </cell>
          <cell r="G44">
            <v>0</v>
          </cell>
          <cell r="H44">
            <v>0</v>
          </cell>
          <cell r="I44">
            <v>0</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ow r="8">
          <cell r="D8">
            <v>1</v>
          </cell>
          <cell r="E8" t="str">
            <v>(Alquran)
Menerapkan hukum bacaan qalqalah  dan ra</v>
          </cell>
        </row>
        <row r="9">
          <cell r="D9">
            <v>0</v>
          </cell>
          <cell r="E9">
            <v>0</v>
          </cell>
        </row>
        <row r="10">
          <cell r="D10">
            <v>2</v>
          </cell>
          <cell r="E10" t="str">
            <v>(Aqidah)
Meningkatkan keimanan kepada kitab-kitab Allah</v>
          </cell>
        </row>
        <row r="11">
          <cell r="D11">
            <v>0</v>
          </cell>
          <cell r="E11">
            <v>0</v>
          </cell>
        </row>
        <row r="12">
          <cell r="D12">
            <v>0</v>
          </cell>
          <cell r="E12">
            <v>0</v>
          </cell>
        </row>
        <row r="13">
          <cell r="D13">
            <v>3</v>
          </cell>
          <cell r="E13" t="str">
            <v>(Akhlak)
Membiasakan perilaku terpuji</v>
          </cell>
        </row>
        <row r="14">
          <cell r="D14">
            <v>0</v>
          </cell>
          <cell r="E14">
            <v>0</v>
          </cell>
        </row>
        <row r="15">
          <cell r="D15">
            <v>0</v>
          </cell>
          <cell r="E15">
            <v>0</v>
          </cell>
        </row>
        <row r="16">
          <cell r="D16">
            <v>4</v>
          </cell>
          <cell r="E16" t="str">
            <v xml:space="preserve">(Akhlak)
Menghindari perilaku tercela </v>
          </cell>
        </row>
        <row r="17">
          <cell r="D17">
            <v>0</v>
          </cell>
          <cell r="E17">
            <v>0</v>
          </cell>
        </row>
        <row r="18">
          <cell r="D18">
            <v>0</v>
          </cell>
          <cell r="E18">
            <v>0</v>
          </cell>
        </row>
        <row r="19">
          <cell r="D19">
            <v>5</v>
          </cell>
          <cell r="E19" t="str">
            <v>(Fiqih)
Mengenal tatacara shalat sunnat</v>
          </cell>
        </row>
        <row r="20">
          <cell r="D20">
            <v>0</v>
          </cell>
          <cell r="E20">
            <v>0</v>
          </cell>
        </row>
        <row r="21">
          <cell r="D21">
            <v>6</v>
          </cell>
          <cell r="E21" t="str">
            <v>(Fiqih): 
Memahami macam-macam sujud</v>
          </cell>
        </row>
        <row r="22">
          <cell r="D22">
            <v>0</v>
          </cell>
          <cell r="E22">
            <v>0</v>
          </cell>
        </row>
        <row r="23">
          <cell r="D23">
            <v>0</v>
          </cell>
          <cell r="E23">
            <v>0</v>
          </cell>
        </row>
        <row r="24">
          <cell r="D24">
            <v>7</v>
          </cell>
          <cell r="E24" t="str">
            <v>(Fiqih): 
Memahami tatacara puasa</v>
          </cell>
        </row>
        <row r="25">
          <cell r="D25">
            <v>0</v>
          </cell>
          <cell r="E25">
            <v>0</v>
          </cell>
        </row>
        <row r="26">
          <cell r="D26">
            <v>0</v>
          </cell>
          <cell r="E26">
            <v>0</v>
          </cell>
        </row>
        <row r="27">
          <cell r="D27">
            <v>0</v>
          </cell>
          <cell r="E27">
            <v>0</v>
          </cell>
        </row>
        <row r="28">
          <cell r="D28">
            <v>8</v>
          </cell>
          <cell r="E28" t="str">
            <v>(Fiqih): 
Memahami zakat</v>
          </cell>
        </row>
        <row r="29">
          <cell r="D29">
            <v>0</v>
          </cell>
          <cell r="E29">
            <v>0</v>
          </cell>
        </row>
        <row r="30">
          <cell r="D30">
            <v>0</v>
          </cell>
          <cell r="E30">
            <v>0</v>
          </cell>
        </row>
        <row r="31">
          <cell r="D31">
            <v>0</v>
          </cell>
          <cell r="E31">
            <v>0</v>
          </cell>
        </row>
        <row r="32">
          <cell r="D32">
            <v>9</v>
          </cell>
          <cell r="E32" t="str">
            <v>(Tarikh dan Kebudayaan Islam): 
Memahami sejarah Nabi Muhammad Saw.</v>
          </cell>
        </row>
        <row r="33">
          <cell r="D33">
            <v>0</v>
          </cell>
          <cell r="E33">
            <v>0</v>
          </cell>
        </row>
        <row r="34">
          <cell r="D34">
            <v>0</v>
          </cell>
          <cell r="E34">
            <v>0</v>
          </cell>
        </row>
        <row r="35">
          <cell r="D35">
            <v>0</v>
          </cell>
          <cell r="E35">
            <v>0</v>
          </cell>
        </row>
        <row r="36">
          <cell r="D36">
            <v>0</v>
          </cell>
          <cell r="E36">
            <v>0</v>
          </cell>
        </row>
        <row r="37">
          <cell r="D37">
            <v>0</v>
          </cell>
          <cell r="E37">
            <v>0</v>
          </cell>
        </row>
        <row r="38">
          <cell r="D38">
            <v>0</v>
          </cell>
          <cell r="E38">
            <v>0</v>
          </cell>
        </row>
        <row r="39">
          <cell r="D39">
            <v>0</v>
          </cell>
          <cell r="E39">
            <v>0</v>
          </cell>
        </row>
        <row r="40">
          <cell r="D40">
            <v>0</v>
          </cell>
          <cell r="E40">
            <v>0</v>
          </cell>
        </row>
        <row r="41">
          <cell r="D41">
            <v>0</v>
          </cell>
          <cell r="E41">
            <v>0</v>
          </cell>
        </row>
        <row r="42">
          <cell r="D42">
            <v>0</v>
          </cell>
          <cell r="E42">
            <v>0</v>
          </cell>
        </row>
      </sheetData>
      <sheetData sheetId="76"/>
      <sheetData sheetId="77"/>
      <sheetData sheetId="78"/>
      <sheetData sheetId="79"/>
      <sheetData sheetId="80"/>
      <sheetData sheetId="81"/>
      <sheetData sheetId="82"/>
      <sheetData sheetId="83"/>
      <sheetData sheetId="84"/>
      <sheetData sheetId="85"/>
      <sheetData sheetId="86">
        <row r="4">
          <cell r="G4" t="str">
            <v>SOAL</v>
          </cell>
        </row>
        <row r="5">
          <cell r="G5">
            <v>0</v>
          </cell>
        </row>
        <row r="6">
          <cell r="A6">
            <v>1</v>
          </cell>
          <cell r="B6" t="str">
            <v>1. Memahami penggunaan teknologi informasi dan komunikasi, dan prospeknya di masa mendatang</v>
          </cell>
          <cell r="C6" t="str">
            <v>1. 1. Mengidentifikasi berbagai peralatan teknologi informasi dan komunikasi</v>
          </cell>
          <cell r="D6" t="str">
            <v>Peralatan teknologi informasi dan komunikasi</v>
          </cell>
          <cell r="E6" t="str">
            <v xml:space="preserve"> Mengidentifikasi peralatan teknologi informasi dan komunikasi di berbagai bidang dengan cermat dan berhati-hati
 Menjelaskan fungsi berbagai peralatan teknologi informasi dan komunikasi dengan berfikir logis
</v>
          </cell>
          <cell r="F6" t="str">
            <v>Buku Paket &amp; Perangkat TIK (komputer, telepon/ hand-phone, faximail, multi media dll.),
buku paket, lembar kerja</v>
          </cell>
          <cell r="G6" t="str">
            <v>Komputer berasal dari kata "To Compute", yang mempunyai arti…..</v>
          </cell>
          <cell r="H6" t="str">
            <v>A</v>
          </cell>
          <cell r="I6" t="str">
            <v>Alat hitung</v>
          </cell>
          <cell r="J6" t="str">
            <v>Berhitung</v>
          </cell>
          <cell r="K6" t="str">
            <v>Komputer</v>
          </cell>
          <cell r="L6" t="str">
            <v>Kalkulator</v>
          </cell>
        </row>
        <row r="7">
          <cell r="A7">
            <v>2</v>
          </cell>
          <cell r="B7" t="str">
            <v>1. Memahami penggunaan teknologi informasi dan komunikasi, dan prospeknya di masa mendatang</v>
          </cell>
          <cell r="C7" t="str">
            <v>1. 1. Mengidentifikasi berbagai peralatan teknologi informasi dan komunikasi</v>
          </cell>
          <cell r="D7" t="str">
            <v>Peralatan teknologi informasi dan komunikasi</v>
          </cell>
          <cell r="E7" t="str">
            <v xml:space="preserve"> Mengidentifikasi peralatan teknologi informasi dan komunikasi di berbagai bidang dengan cermat dan berhati-hati
 Menjelaskan fungsi berbagai peralatan teknologi informasi dan komunikasi dengan berfikir logis
</v>
          </cell>
          <cell r="F7" t="str">
            <v>Buku Paket &amp; Perangkat TIK (komputer, telepon/ hand-phone, faximail, multi media dll.),
buku paket, lembar kerja</v>
          </cell>
          <cell r="G7" t="str">
            <v>Bagian komputer yang termasuk alat input adalah….</v>
          </cell>
          <cell r="H7" t="str">
            <v>B</v>
          </cell>
          <cell r="I7" t="str">
            <v>Monitor</v>
          </cell>
          <cell r="J7" t="str">
            <v>Keyboard</v>
          </cell>
          <cell r="K7" t="str">
            <v>CPU</v>
          </cell>
          <cell r="L7" t="str">
            <v>Speaker</v>
          </cell>
        </row>
        <row r="8">
          <cell r="A8">
            <v>3</v>
          </cell>
          <cell r="B8">
            <v>0</v>
          </cell>
          <cell r="C8">
            <v>0</v>
          </cell>
          <cell r="D8">
            <v>0</v>
          </cell>
          <cell r="E8">
            <v>0</v>
          </cell>
          <cell r="F8">
            <v>0</v>
          </cell>
          <cell r="G8">
            <v>0</v>
          </cell>
          <cell r="H8">
            <v>0</v>
          </cell>
          <cell r="I8">
            <v>0</v>
          </cell>
          <cell r="J8">
            <v>0</v>
          </cell>
          <cell r="K8">
            <v>0</v>
          </cell>
          <cell r="L8">
            <v>0</v>
          </cell>
        </row>
        <row r="9">
          <cell r="A9">
            <v>4</v>
          </cell>
          <cell r="B9">
            <v>0</v>
          </cell>
          <cell r="C9">
            <v>0</v>
          </cell>
          <cell r="D9">
            <v>0</v>
          </cell>
          <cell r="E9">
            <v>0</v>
          </cell>
          <cell r="F9">
            <v>0</v>
          </cell>
          <cell r="G9">
            <v>0</v>
          </cell>
          <cell r="H9">
            <v>0</v>
          </cell>
          <cell r="I9">
            <v>0</v>
          </cell>
          <cell r="J9">
            <v>0</v>
          </cell>
          <cell r="K9">
            <v>0</v>
          </cell>
          <cell r="L9">
            <v>0</v>
          </cell>
        </row>
        <row r="10">
          <cell r="A10">
            <v>5</v>
          </cell>
          <cell r="B10">
            <v>0</v>
          </cell>
          <cell r="C10">
            <v>0</v>
          </cell>
          <cell r="D10">
            <v>0</v>
          </cell>
          <cell r="E10">
            <v>0</v>
          </cell>
          <cell r="F10">
            <v>0</v>
          </cell>
          <cell r="G10">
            <v>0</v>
          </cell>
          <cell r="H10">
            <v>0</v>
          </cell>
          <cell r="I10">
            <v>0</v>
          </cell>
          <cell r="J10">
            <v>0</v>
          </cell>
          <cell r="K10">
            <v>0</v>
          </cell>
          <cell r="L10">
            <v>0</v>
          </cell>
        </row>
        <row r="11">
          <cell r="A11">
            <v>6</v>
          </cell>
          <cell r="B11">
            <v>0</v>
          </cell>
          <cell r="C11">
            <v>0</v>
          </cell>
          <cell r="D11">
            <v>0</v>
          </cell>
          <cell r="E11">
            <v>0</v>
          </cell>
          <cell r="F11">
            <v>0</v>
          </cell>
          <cell r="G11">
            <v>0</v>
          </cell>
          <cell r="H11">
            <v>0</v>
          </cell>
          <cell r="I11">
            <v>0</v>
          </cell>
          <cell r="J11">
            <v>0</v>
          </cell>
          <cell r="K11">
            <v>0</v>
          </cell>
          <cell r="L11">
            <v>0</v>
          </cell>
        </row>
        <row r="12">
          <cell r="A12">
            <v>7</v>
          </cell>
          <cell r="B12">
            <v>0</v>
          </cell>
          <cell r="C12">
            <v>0</v>
          </cell>
          <cell r="D12">
            <v>0</v>
          </cell>
          <cell r="E12">
            <v>0</v>
          </cell>
          <cell r="F12">
            <v>0</v>
          </cell>
          <cell r="G12">
            <v>0</v>
          </cell>
          <cell r="H12">
            <v>0</v>
          </cell>
          <cell r="I12">
            <v>0</v>
          </cell>
          <cell r="J12">
            <v>0</v>
          </cell>
          <cell r="K12">
            <v>0</v>
          </cell>
          <cell r="L12">
            <v>0</v>
          </cell>
        </row>
        <row r="13">
          <cell r="A13">
            <v>8</v>
          </cell>
          <cell r="B13">
            <v>0</v>
          </cell>
          <cell r="C13">
            <v>0</v>
          </cell>
          <cell r="D13">
            <v>0</v>
          </cell>
          <cell r="E13">
            <v>0</v>
          </cell>
          <cell r="F13">
            <v>0</v>
          </cell>
          <cell r="G13">
            <v>0</v>
          </cell>
          <cell r="H13">
            <v>0</v>
          </cell>
          <cell r="I13">
            <v>0</v>
          </cell>
          <cell r="J13">
            <v>0</v>
          </cell>
          <cell r="K13">
            <v>0</v>
          </cell>
          <cell r="L13">
            <v>0</v>
          </cell>
        </row>
        <row r="14">
          <cell r="A14">
            <v>9</v>
          </cell>
          <cell r="B14">
            <v>0</v>
          </cell>
          <cell r="C14">
            <v>0</v>
          </cell>
          <cell r="D14">
            <v>0</v>
          </cell>
          <cell r="E14">
            <v>0</v>
          </cell>
          <cell r="F14">
            <v>0</v>
          </cell>
          <cell r="G14">
            <v>0</v>
          </cell>
          <cell r="H14">
            <v>0</v>
          </cell>
          <cell r="I14">
            <v>0</v>
          </cell>
          <cell r="J14">
            <v>0</v>
          </cell>
          <cell r="K14">
            <v>0</v>
          </cell>
          <cell r="L14">
            <v>0</v>
          </cell>
        </row>
        <row r="15">
          <cell r="A15">
            <v>10</v>
          </cell>
          <cell r="B15">
            <v>0</v>
          </cell>
          <cell r="C15">
            <v>0</v>
          </cell>
          <cell r="D15">
            <v>0</v>
          </cell>
          <cell r="E15">
            <v>0</v>
          </cell>
          <cell r="F15">
            <v>0</v>
          </cell>
          <cell r="G15">
            <v>0</v>
          </cell>
          <cell r="H15">
            <v>0</v>
          </cell>
          <cell r="I15">
            <v>0</v>
          </cell>
          <cell r="J15">
            <v>0</v>
          </cell>
          <cell r="K15">
            <v>0</v>
          </cell>
          <cell r="L15">
            <v>0</v>
          </cell>
        </row>
        <row r="16">
          <cell r="A16">
            <v>11</v>
          </cell>
          <cell r="B16">
            <v>0</v>
          </cell>
          <cell r="C16">
            <v>0</v>
          </cell>
          <cell r="D16">
            <v>0</v>
          </cell>
          <cell r="E16">
            <v>0</v>
          </cell>
          <cell r="F16">
            <v>0</v>
          </cell>
          <cell r="G16">
            <v>0</v>
          </cell>
          <cell r="H16">
            <v>0</v>
          </cell>
          <cell r="I16">
            <v>0</v>
          </cell>
          <cell r="J16">
            <v>0</v>
          </cell>
          <cell r="K16">
            <v>0</v>
          </cell>
          <cell r="L16">
            <v>0</v>
          </cell>
        </row>
        <row r="17">
          <cell r="A17">
            <v>12</v>
          </cell>
          <cell r="B17">
            <v>0</v>
          </cell>
          <cell r="C17">
            <v>0</v>
          </cell>
          <cell r="D17">
            <v>0</v>
          </cell>
          <cell r="E17">
            <v>0</v>
          </cell>
          <cell r="F17">
            <v>0</v>
          </cell>
          <cell r="G17">
            <v>0</v>
          </cell>
          <cell r="H17">
            <v>0</v>
          </cell>
          <cell r="I17">
            <v>0</v>
          </cell>
          <cell r="J17">
            <v>0</v>
          </cell>
          <cell r="K17">
            <v>0</v>
          </cell>
          <cell r="L17">
            <v>0</v>
          </cell>
        </row>
        <row r="18">
          <cell r="A18">
            <v>13</v>
          </cell>
          <cell r="B18">
            <v>0</v>
          </cell>
          <cell r="C18">
            <v>0</v>
          </cell>
          <cell r="D18">
            <v>0</v>
          </cell>
          <cell r="E18">
            <v>0</v>
          </cell>
          <cell r="F18">
            <v>0</v>
          </cell>
          <cell r="G18">
            <v>0</v>
          </cell>
          <cell r="H18">
            <v>0</v>
          </cell>
          <cell r="I18">
            <v>0</v>
          </cell>
          <cell r="J18">
            <v>0</v>
          </cell>
          <cell r="K18">
            <v>0</v>
          </cell>
          <cell r="L18">
            <v>0</v>
          </cell>
        </row>
        <row r="19">
          <cell r="A19">
            <v>14</v>
          </cell>
          <cell r="B19">
            <v>0</v>
          </cell>
          <cell r="C19">
            <v>0</v>
          </cell>
          <cell r="D19">
            <v>0</v>
          </cell>
          <cell r="E19">
            <v>0</v>
          </cell>
          <cell r="F19">
            <v>0</v>
          </cell>
          <cell r="G19">
            <v>0</v>
          </cell>
          <cell r="H19">
            <v>0</v>
          </cell>
          <cell r="I19">
            <v>0</v>
          </cell>
          <cell r="J19">
            <v>0</v>
          </cell>
          <cell r="K19">
            <v>0</v>
          </cell>
          <cell r="L19">
            <v>0</v>
          </cell>
        </row>
        <row r="20">
          <cell r="A20">
            <v>15</v>
          </cell>
          <cell r="B20">
            <v>0</v>
          </cell>
          <cell r="C20">
            <v>0</v>
          </cell>
          <cell r="D20">
            <v>0</v>
          </cell>
          <cell r="E20">
            <v>0</v>
          </cell>
          <cell r="F20">
            <v>0</v>
          </cell>
          <cell r="G20">
            <v>0</v>
          </cell>
          <cell r="H20">
            <v>0</v>
          </cell>
          <cell r="I20">
            <v>0</v>
          </cell>
          <cell r="J20">
            <v>0</v>
          </cell>
          <cell r="K20">
            <v>0</v>
          </cell>
          <cell r="L20">
            <v>0</v>
          </cell>
        </row>
        <row r="21">
          <cell r="A21">
            <v>16</v>
          </cell>
          <cell r="B21">
            <v>0</v>
          </cell>
          <cell r="C21">
            <v>0</v>
          </cell>
          <cell r="D21">
            <v>0</v>
          </cell>
          <cell r="E21">
            <v>0</v>
          </cell>
          <cell r="F21">
            <v>0</v>
          </cell>
          <cell r="G21">
            <v>0</v>
          </cell>
          <cell r="H21">
            <v>0</v>
          </cell>
          <cell r="I21">
            <v>0</v>
          </cell>
          <cell r="J21">
            <v>0</v>
          </cell>
          <cell r="K21">
            <v>0</v>
          </cell>
          <cell r="L21">
            <v>0</v>
          </cell>
        </row>
        <row r="22">
          <cell r="A22">
            <v>17</v>
          </cell>
          <cell r="B22">
            <v>0</v>
          </cell>
          <cell r="C22">
            <v>0</v>
          </cell>
          <cell r="D22">
            <v>0</v>
          </cell>
          <cell r="E22">
            <v>0</v>
          </cell>
          <cell r="F22">
            <v>0</v>
          </cell>
          <cell r="G22">
            <v>0</v>
          </cell>
          <cell r="H22">
            <v>0</v>
          </cell>
          <cell r="I22">
            <v>0</v>
          </cell>
          <cell r="J22">
            <v>0</v>
          </cell>
          <cell r="K22">
            <v>0</v>
          </cell>
          <cell r="L22">
            <v>0</v>
          </cell>
        </row>
        <row r="23">
          <cell r="A23">
            <v>18</v>
          </cell>
          <cell r="B23">
            <v>0</v>
          </cell>
          <cell r="C23">
            <v>0</v>
          </cell>
          <cell r="D23">
            <v>0</v>
          </cell>
          <cell r="E23">
            <v>0</v>
          </cell>
          <cell r="F23">
            <v>0</v>
          </cell>
          <cell r="G23">
            <v>0</v>
          </cell>
          <cell r="H23">
            <v>0</v>
          </cell>
          <cell r="I23">
            <v>0</v>
          </cell>
          <cell r="J23">
            <v>0</v>
          </cell>
          <cell r="K23">
            <v>0</v>
          </cell>
          <cell r="L23">
            <v>0</v>
          </cell>
        </row>
        <row r="24">
          <cell r="A24">
            <v>19</v>
          </cell>
          <cell r="B24">
            <v>0</v>
          </cell>
          <cell r="C24">
            <v>0</v>
          </cell>
          <cell r="D24">
            <v>0</v>
          </cell>
          <cell r="E24">
            <v>0</v>
          </cell>
          <cell r="F24">
            <v>0</v>
          </cell>
          <cell r="G24">
            <v>0</v>
          </cell>
          <cell r="H24">
            <v>0</v>
          </cell>
          <cell r="I24">
            <v>0</v>
          </cell>
          <cell r="J24">
            <v>0</v>
          </cell>
          <cell r="K24">
            <v>0</v>
          </cell>
          <cell r="L24">
            <v>0</v>
          </cell>
        </row>
        <row r="25">
          <cell r="A25">
            <v>20</v>
          </cell>
          <cell r="B25">
            <v>0</v>
          </cell>
          <cell r="C25">
            <v>0</v>
          </cell>
          <cell r="D25">
            <v>0</v>
          </cell>
          <cell r="E25">
            <v>0</v>
          </cell>
          <cell r="F25">
            <v>0</v>
          </cell>
          <cell r="G25">
            <v>0</v>
          </cell>
          <cell r="H25">
            <v>0</v>
          </cell>
          <cell r="I25">
            <v>0</v>
          </cell>
          <cell r="J25">
            <v>0</v>
          </cell>
          <cell r="K25">
            <v>0</v>
          </cell>
          <cell r="L25">
            <v>0</v>
          </cell>
        </row>
        <row r="26">
          <cell r="A26">
            <v>21</v>
          </cell>
          <cell r="B26">
            <v>0</v>
          </cell>
          <cell r="C26">
            <v>0</v>
          </cell>
          <cell r="D26">
            <v>0</v>
          </cell>
          <cell r="E26">
            <v>0</v>
          </cell>
          <cell r="F26">
            <v>0</v>
          </cell>
          <cell r="G26">
            <v>0</v>
          </cell>
          <cell r="H26">
            <v>0</v>
          </cell>
          <cell r="I26">
            <v>0</v>
          </cell>
          <cell r="J26">
            <v>0</v>
          </cell>
          <cell r="K26">
            <v>0</v>
          </cell>
          <cell r="L26">
            <v>0</v>
          </cell>
        </row>
        <row r="27">
          <cell r="A27">
            <v>22</v>
          </cell>
          <cell r="B27">
            <v>0</v>
          </cell>
          <cell r="C27">
            <v>0</v>
          </cell>
          <cell r="D27">
            <v>0</v>
          </cell>
          <cell r="E27">
            <v>0</v>
          </cell>
          <cell r="F27">
            <v>0</v>
          </cell>
          <cell r="G27">
            <v>0</v>
          </cell>
          <cell r="H27">
            <v>0</v>
          </cell>
          <cell r="I27">
            <v>0</v>
          </cell>
          <cell r="J27">
            <v>0</v>
          </cell>
          <cell r="K27">
            <v>0</v>
          </cell>
          <cell r="L27">
            <v>0</v>
          </cell>
        </row>
        <row r="28">
          <cell r="A28">
            <v>23</v>
          </cell>
          <cell r="B28">
            <v>0</v>
          </cell>
          <cell r="C28">
            <v>0</v>
          </cell>
          <cell r="D28">
            <v>0</v>
          </cell>
          <cell r="E28">
            <v>0</v>
          </cell>
          <cell r="F28">
            <v>0</v>
          </cell>
          <cell r="G28">
            <v>0</v>
          </cell>
          <cell r="H28">
            <v>0</v>
          </cell>
          <cell r="I28">
            <v>0</v>
          </cell>
          <cell r="J28">
            <v>0</v>
          </cell>
          <cell r="K28">
            <v>0</v>
          </cell>
          <cell r="L28">
            <v>0</v>
          </cell>
        </row>
        <row r="29">
          <cell r="A29">
            <v>24</v>
          </cell>
          <cell r="B29">
            <v>0</v>
          </cell>
          <cell r="C29">
            <v>0</v>
          </cell>
          <cell r="D29">
            <v>0</v>
          </cell>
          <cell r="E29">
            <v>0</v>
          </cell>
          <cell r="F29">
            <v>0</v>
          </cell>
          <cell r="G29">
            <v>0</v>
          </cell>
          <cell r="H29">
            <v>0</v>
          </cell>
          <cell r="I29">
            <v>0</v>
          </cell>
          <cell r="J29">
            <v>0</v>
          </cell>
          <cell r="K29">
            <v>0</v>
          </cell>
          <cell r="L29">
            <v>0</v>
          </cell>
        </row>
        <row r="30">
          <cell r="A30">
            <v>25</v>
          </cell>
          <cell r="B30">
            <v>0</v>
          </cell>
          <cell r="C30">
            <v>0</v>
          </cell>
          <cell r="D30">
            <v>0</v>
          </cell>
          <cell r="E30">
            <v>0</v>
          </cell>
          <cell r="F30">
            <v>0</v>
          </cell>
          <cell r="G30">
            <v>0</v>
          </cell>
          <cell r="H30">
            <v>0</v>
          </cell>
          <cell r="I30">
            <v>0</v>
          </cell>
          <cell r="J30">
            <v>0</v>
          </cell>
          <cell r="K30">
            <v>0</v>
          </cell>
          <cell r="L30">
            <v>0</v>
          </cell>
        </row>
        <row r="31">
          <cell r="A31">
            <v>26</v>
          </cell>
          <cell r="B31">
            <v>0</v>
          </cell>
          <cell r="C31">
            <v>0</v>
          </cell>
          <cell r="D31">
            <v>0</v>
          </cell>
          <cell r="E31">
            <v>0</v>
          </cell>
          <cell r="F31">
            <v>0</v>
          </cell>
          <cell r="G31">
            <v>0</v>
          </cell>
          <cell r="H31">
            <v>0</v>
          </cell>
          <cell r="I31">
            <v>0</v>
          </cell>
          <cell r="J31">
            <v>0</v>
          </cell>
          <cell r="K31">
            <v>0</v>
          </cell>
          <cell r="L31">
            <v>0</v>
          </cell>
        </row>
        <row r="32">
          <cell r="A32">
            <v>27</v>
          </cell>
          <cell r="B32">
            <v>0</v>
          </cell>
          <cell r="C32">
            <v>0</v>
          </cell>
          <cell r="D32">
            <v>0</v>
          </cell>
          <cell r="E32">
            <v>0</v>
          </cell>
          <cell r="F32">
            <v>0</v>
          </cell>
          <cell r="G32">
            <v>0</v>
          </cell>
          <cell r="H32">
            <v>0</v>
          </cell>
          <cell r="I32">
            <v>0</v>
          </cell>
          <cell r="J32">
            <v>0</v>
          </cell>
          <cell r="K32">
            <v>0</v>
          </cell>
          <cell r="L32">
            <v>0</v>
          </cell>
        </row>
        <row r="33">
          <cell r="A33">
            <v>28</v>
          </cell>
          <cell r="B33">
            <v>0</v>
          </cell>
          <cell r="C33">
            <v>0</v>
          </cell>
          <cell r="D33">
            <v>0</v>
          </cell>
          <cell r="E33">
            <v>0</v>
          </cell>
          <cell r="F33">
            <v>0</v>
          </cell>
          <cell r="G33">
            <v>0</v>
          </cell>
          <cell r="H33">
            <v>0</v>
          </cell>
          <cell r="I33">
            <v>0</v>
          </cell>
          <cell r="J33">
            <v>0</v>
          </cell>
          <cell r="K33">
            <v>0</v>
          </cell>
          <cell r="L33">
            <v>0</v>
          </cell>
        </row>
        <row r="34">
          <cell r="A34">
            <v>29</v>
          </cell>
          <cell r="B34">
            <v>0</v>
          </cell>
          <cell r="C34">
            <v>0</v>
          </cell>
          <cell r="D34">
            <v>0</v>
          </cell>
          <cell r="E34">
            <v>0</v>
          </cell>
          <cell r="F34">
            <v>0</v>
          </cell>
          <cell r="G34">
            <v>0</v>
          </cell>
          <cell r="H34">
            <v>0</v>
          </cell>
          <cell r="I34">
            <v>0</v>
          </cell>
          <cell r="J34">
            <v>0</v>
          </cell>
          <cell r="K34">
            <v>0</v>
          </cell>
          <cell r="L34">
            <v>0</v>
          </cell>
        </row>
        <row r="35">
          <cell r="A35">
            <v>30</v>
          </cell>
          <cell r="B35">
            <v>0</v>
          </cell>
          <cell r="C35">
            <v>0</v>
          </cell>
          <cell r="D35">
            <v>0</v>
          </cell>
          <cell r="E35">
            <v>0</v>
          </cell>
          <cell r="F35">
            <v>0</v>
          </cell>
          <cell r="G35">
            <v>0</v>
          </cell>
          <cell r="H35">
            <v>0</v>
          </cell>
          <cell r="I35">
            <v>0</v>
          </cell>
          <cell r="J35">
            <v>0</v>
          </cell>
          <cell r="K35">
            <v>0</v>
          </cell>
          <cell r="L35">
            <v>0</v>
          </cell>
        </row>
        <row r="36">
          <cell r="A36">
            <v>31</v>
          </cell>
          <cell r="B36">
            <v>0</v>
          </cell>
          <cell r="C36">
            <v>0</v>
          </cell>
          <cell r="D36">
            <v>0</v>
          </cell>
          <cell r="E36">
            <v>0</v>
          </cell>
          <cell r="F36">
            <v>0</v>
          </cell>
          <cell r="G36">
            <v>0</v>
          </cell>
          <cell r="H36">
            <v>0</v>
          </cell>
          <cell r="I36">
            <v>0</v>
          </cell>
          <cell r="J36">
            <v>0</v>
          </cell>
          <cell r="K36">
            <v>0</v>
          </cell>
          <cell r="L36">
            <v>0</v>
          </cell>
        </row>
        <row r="37">
          <cell r="A37">
            <v>32</v>
          </cell>
          <cell r="B37">
            <v>0</v>
          </cell>
          <cell r="C37">
            <v>0</v>
          </cell>
          <cell r="D37">
            <v>0</v>
          </cell>
          <cell r="E37">
            <v>0</v>
          </cell>
          <cell r="F37">
            <v>0</v>
          </cell>
          <cell r="G37">
            <v>0</v>
          </cell>
          <cell r="H37">
            <v>0</v>
          </cell>
          <cell r="I37">
            <v>0</v>
          </cell>
          <cell r="J37">
            <v>0</v>
          </cell>
          <cell r="K37">
            <v>0</v>
          </cell>
          <cell r="L37">
            <v>0</v>
          </cell>
        </row>
        <row r="38">
          <cell r="A38">
            <v>33</v>
          </cell>
          <cell r="B38">
            <v>0</v>
          </cell>
          <cell r="C38">
            <v>0</v>
          </cell>
          <cell r="D38">
            <v>0</v>
          </cell>
          <cell r="E38">
            <v>0</v>
          </cell>
          <cell r="F38">
            <v>0</v>
          </cell>
          <cell r="G38">
            <v>0</v>
          </cell>
          <cell r="H38">
            <v>0</v>
          </cell>
          <cell r="I38">
            <v>0</v>
          </cell>
          <cell r="J38">
            <v>0</v>
          </cell>
          <cell r="K38">
            <v>0</v>
          </cell>
          <cell r="L38">
            <v>0</v>
          </cell>
        </row>
        <row r="39">
          <cell r="A39">
            <v>34</v>
          </cell>
          <cell r="B39">
            <v>0</v>
          </cell>
          <cell r="C39">
            <v>0</v>
          </cell>
          <cell r="D39">
            <v>0</v>
          </cell>
          <cell r="E39">
            <v>0</v>
          </cell>
          <cell r="F39">
            <v>0</v>
          </cell>
          <cell r="G39">
            <v>0</v>
          </cell>
          <cell r="H39">
            <v>0</v>
          </cell>
          <cell r="I39">
            <v>0</v>
          </cell>
          <cell r="J39">
            <v>0</v>
          </cell>
          <cell r="K39">
            <v>0</v>
          </cell>
          <cell r="L39">
            <v>0</v>
          </cell>
        </row>
        <row r="40">
          <cell r="A40">
            <v>35</v>
          </cell>
          <cell r="B40">
            <v>0</v>
          </cell>
          <cell r="C40">
            <v>0</v>
          </cell>
          <cell r="D40">
            <v>0</v>
          </cell>
          <cell r="E40">
            <v>0</v>
          </cell>
          <cell r="F40">
            <v>0</v>
          </cell>
          <cell r="G40">
            <v>0</v>
          </cell>
          <cell r="H40">
            <v>0</v>
          </cell>
          <cell r="I40">
            <v>0</v>
          </cell>
          <cell r="J40">
            <v>0</v>
          </cell>
          <cell r="K40">
            <v>0</v>
          </cell>
          <cell r="L40">
            <v>0</v>
          </cell>
        </row>
        <row r="41">
          <cell r="A41">
            <v>36</v>
          </cell>
          <cell r="B41">
            <v>0</v>
          </cell>
          <cell r="C41">
            <v>0</v>
          </cell>
          <cell r="D41">
            <v>0</v>
          </cell>
          <cell r="E41">
            <v>0</v>
          </cell>
          <cell r="F41">
            <v>0</v>
          </cell>
          <cell r="G41">
            <v>0</v>
          </cell>
          <cell r="H41">
            <v>0</v>
          </cell>
          <cell r="I41">
            <v>0</v>
          </cell>
          <cell r="J41">
            <v>0</v>
          </cell>
          <cell r="K41">
            <v>0</v>
          </cell>
          <cell r="L41">
            <v>0</v>
          </cell>
        </row>
        <row r="42">
          <cell r="A42">
            <v>37</v>
          </cell>
          <cell r="B42">
            <v>0</v>
          </cell>
          <cell r="C42">
            <v>0</v>
          </cell>
          <cell r="D42">
            <v>0</v>
          </cell>
          <cell r="E42">
            <v>0</v>
          </cell>
          <cell r="F42">
            <v>0</v>
          </cell>
          <cell r="G42">
            <v>0</v>
          </cell>
          <cell r="H42">
            <v>0</v>
          </cell>
          <cell r="I42">
            <v>0</v>
          </cell>
          <cell r="J42">
            <v>0</v>
          </cell>
          <cell r="K42">
            <v>0</v>
          </cell>
          <cell r="L42">
            <v>0</v>
          </cell>
        </row>
        <row r="43">
          <cell r="A43">
            <v>38</v>
          </cell>
          <cell r="B43">
            <v>0</v>
          </cell>
          <cell r="C43">
            <v>0</v>
          </cell>
          <cell r="D43">
            <v>0</v>
          </cell>
          <cell r="E43">
            <v>0</v>
          </cell>
          <cell r="F43">
            <v>0</v>
          </cell>
          <cell r="G43">
            <v>0</v>
          </cell>
          <cell r="H43">
            <v>0</v>
          </cell>
          <cell r="I43">
            <v>0</v>
          </cell>
          <cell r="J43">
            <v>0</v>
          </cell>
          <cell r="K43">
            <v>0</v>
          </cell>
          <cell r="L43">
            <v>0</v>
          </cell>
        </row>
        <row r="44">
          <cell r="A44">
            <v>39</v>
          </cell>
          <cell r="B44">
            <v>0</v>
          </cell>
          <cell r="C44">
            <v>0</v>
          </cell>
          <cell r="D44">
            <v>0</v>
          </cell>
          <cell r="E44">
            <v>0</v>
          </cell>
          <cell r="F44">
            <v>0</v>
          </cell>
          <cell r="G44">
            <v>0</v>
          </cell>
          <cell r="H44">
            <v>0</v>
          </cell>
          <cell r="I44">
            <v>0</v>
          </cell>
          <cell r="J44">
            <v>0</v>
          </cell>
          <cell r="K44">
            <v>0</v>
          </cell>
          <cell r="L44">
            <v>0</v>
          </cell>
        </row>
        <row r="45">
          <cell r="A45">
            <v>40</v>
          </cell>
          <cell r="B45">
            <v>0</v>
          </cell>
          <cell r="C45">
            <v>0</v>
          </cell>
          <cell r="D45">
            <v>0</v>
          </cell>
          <cell r="E45">
            <v>0</v>
          </cell>
          <cell r="F45">
            <v>0</v>
          </cell>
          <cell r="G45">
            <v>0</v>
          </cell>
          <cell r="H45">
            <v>0</v>
          </cell>
          <cell r="I45">
            <v>0</v>
          </cell>
          <cell r="J45">
            <v>0</v>
          </cell>
          <cell r="K45">
            <v>0</v>
          </cell>
          <cell r="L45">
            <v>0</v>
          </cell>
        </row>
        <row r="46">
          <cell r="A46">
            <v>41</v>
          </cell>
          <cell r="B46">
            <v>0</v>
          </cell>
          <cell r="C46">
            <v>0</v>
          </cell>
          <cell r="D46">
            <v>0</v>
          </cell>
          <cell r="E46">
            <v>0</v>
          </cell>
          <cell r="F46">
            <v>0</v>
          </cell>
          <cell r="G46">
            <v>0</v>
          </cell>
          <cell r="H46">
            <v>0</v>
          </cell>
          <cell r="I46">
            <v>0</v>
          </cell>
          <cell r="J46">
            <v>0</v>
          </cell>
          <cell r="K46">
            <v>0</v>
          </cell>
          <cell r="L46">
            <v>0</v>
          </cell>
        </row>
        <row r="47">
          <cell r="A47">
            <v>42</v>
          </cell>
          <cell r="B47">
            <v>0</v>
          </cell>
          <cell r="C47">
            <v>0</v>
          </cell>
          <cell r="D47">
            <v>0</v>
          </cell>
          <cell r="E47">
            <v>0</v>
          </cell>
          <cell r="F47">
            <v>0</v>
          </cell>
          <cell r="G47">
            <v>0</v>
          </cell>
          <cell r="H47">
            <v>0</v>
          </cell>
          <cell r="I47">
            <v>0</v>
          </cell>
          <cell r="J47">
            <v>0</v>
          </cell>
          <cell r="K47">
            <v>0</v>
          </cell>
          <cell r="L47">
            <v>0</v>
          </cell>
        </row>
        <row r="48">
          <cell r="A48">
            <v>43</v>
          </cell>
          <cell r="B48">
            <v>0</v>
          </cell>
          <cell r="C48">
            <v>0</v>
          </cell>
          <cell r="D48">
            <v>0</v>
          </cell>
          <cell r="E48">
            <v>0</v>
          </cell>
          <cell r="F48">
            <v>0</v>
          </cell>
          <cell r="G48">
            <v>0</v>
          </cell>
          <cell r="H48">
            <v>0</v>
          </cell>
          <cell r="I48">
            <v>0</v>
          </cell>
          <cell r="J48">
            <v>0</v>
          </cell>
          <cell r="K48">
            <v>0</v>
          </cell>
          <cell r="L48">
            <v>0</v>
          </cell>
        </row>
        <row r="49">
          <cell r="A49">
            <v>44</v>
          </cell>
          <cell r="B49">
            <v>0</v>
          </cell>
          <cell r="C49">
            <v>0</v>
          </cell>
          <cell r="D49">
            <v>0</v>
          </cell>
          <cell r="E49">
            <v>0</v>
          </cell>
          <cell r="F49">
            <v>0</v>
          </cell>
          <cell r="G49">
            <v>0</v>
          </cell>
          <cell r="H49">
            <v>0</v>
          </cell>
          <cell r="I49">
            <v>0</v>
          </cell>
          <cell r="J49">
            <v>0</v>
          </cell>
          <cell r="K49">
            <v>0</v>
          </cell>
          <cell r="L49">
            <v>0</v>
          </cell>
        </row>
        <row r="50">
          <cell r="A50">
            <v>45</v>
          </cell>
          <cell r="B50">
            <v>0</v>
          </cell>
          <cell r="C50">
            <v>0</v>
          </cell>
          <cell r="D50">
            <v>0</v>
          </cell>
          <cell r="E50">
            <v>0</v>
          </cell>
          <cell r="F50">
            <v>0</v>
          </cell>
          <cell r="G50">
            <v>0</v>
          </cell>
          <cell r="H50">
            <v>0</v>
          </cell>
          <cell r="I50">
            <v>0</v>
          </cell>
          <cell r="J50">
            <v>0</v>
          </cell>
          <cell r="K50">
            <v>0</v>
          </cell>
          <cell r="L50">
            <v>0</v>
          </cell>
        </row>
        <row r="51">
          <cell r="A51">
            <v>46</v>
          </cell>
          <cell r="B51">
            <v>0</v>
          </cell>
          <cell r="C51">
            <v>0</v>
          </cell>
          <cell r="D51">
            <v>0</v>
          </cell>
          <cell r="E51">
            <v>0</v>
          </cell>
          <cell r="F51">
            <v>0</v>
          </cell>
          <cell r="G51">
            <v>0</v>
          </cell>
          <cell r="H51">
            <v>0</v>
          </cell>
          <cell r="I51">
            <v>0</v>
          </cell>
          <cell r="J51">
            <v>0</v>
          </cell>
          <cell r="K51">
            <v>0</v>
          </cell>
          <cell r="L51">
            <v>0</v>
          </cell>
        </row>
        <row r="52">
          <cell r="A52">
            <v>47</v>
          </cell>
          <cell r="B52">
            <v>0</v>
          </cell>
          <cell r="C52">
            <v>0</v>
          </cell>
          <cell r="D52">
            <v>0</v>
          </cell>
          <cell r="E52">
            <v>0</v>
          </cell>
          <cell r="F52">
            <v>0</v>
          </cell>
          <cell r="G52">
            <v>0</v>
          </cell>
          <cell r="H52">
            <v>0</v>
          </cell>
          <cell r="I52">
            <v>0</v>
          </cell>
          <cell r="J52">
            <v>0</v>
          </cell>
          <cell r="K52">
            <v>0</v>
          </cell>
          <cell r="L52">
            <v>0</v>
          </cell>
        </row>
        <row r="53">
          <cell r="A53">
            <v>48</v>
          </cell>
          <cell r="B53">
            <v>0</v>
          </cell>
          <cell r="C53">
            <v>0</v>
          </cell>
          <cell r="D53">
            <v>0</v>
          </cell>
          <cell r="E53">
            <v>0</v>
          </cell>
          <cell r="F53">
            <v>0</v>
          </cell>
          <cell r="G53">
            <v>0</v>
          </cell>
          <cell r="H53">
            <v>0</v>
          </cell>
          <cell r="I53">
            <v>0</v>
          </cell>
          <cell r="J53">
            <v>0</v>
          </cell>
          <cell r="K53">
            <v>0</v>
          </cell>
          <cell r="L53">
            <v>0</v>
          </cell>
        </row>
        <row r="54">
          <cell r="A54">
            <v>49</v>
          </cell>
          <cell r="B54">
            <v>0</v>
          </cell>
          <cell r="C54">
            <v>0</v>
          </cell>
          <cell r="D54">
            <v>0</v>
          </cell>
          <cell r="E54">
            <v>0</v>
          </cell>
          <cell r="F54">
            <v>0</v>
          </cell>
          <cell r="G54">
            <v>0</v>
          </cell>
          <cell r="H54">
            <v>0</v>
          </cell>
          <cell r="I54">
            <v>0</v>
          </cell>
          <cell r="J54">
            <v>0</v>
          </cell>
          <cell r="K54">
            <v>0</v>
          </cell>
          <cell r="L54">
            <v>0</v>
          </cell>
        </row>
        <row r="55">
          <cell r="A55">
            <v>50</v>
          </cell>
          <cell r="B55">
            <v>0</v>
          </cell>
          <cell r="C55">
            <v>0</v>
          </cell>
          <cell r="D55">
            <v>0</v>
          </cell>
          <cell r="E55">
            <v>0</v>
          </cell>
          <cell r="F55">
            <v>0</v>
          </cell>
          <cell r="G55">
            <v>0</v>
          </cell>
          <cell r="H55">
            <v>0</v>
          </cell>
          <cell r="I55">
            <v>0</v>
          </cell>
          <cell r="J55">
            <v>0</v>
          </cell>
          <cell r="K55">
            <v>0</v>
          </cell>
          <cell r="L55">
            <v>0</v>
          </cell>
        </row>
        <row r="56">
          <cell r="A56">
            <v>51</v>
          </cell>
          <cell r="B56">
            <v>0</v>
          </cell>
          <cell r="C56">
            <v>0</v>
          </cell>
          <cell r="D56">
            <v>0</v>
          </cell>
          <cell r="E56">
            <v>0</v>
          </cell>
          <cell r="F56">
            <v>0</v>
          </cell>
          <cell r="G56">
            <v>0</v>
          </cell>
          <cell r="H56">
            <v>0</v>
          </cell>
          <cell r="I56">
            <v>0</v>
          </cell>
          <cell r="J56">
            <v>0</v>
          </cell>
          <cell r="K56">
            <v>0</v>
          </cell>
          <cell r="L56">
            <v>0</v>
          </cell>
        </row>
        <row r="57">
          <cell r="A57">
            <v>52</v>
          </cell>
          <cell r="B57">
            <v>0</v>
          </cell>
          <cell r="C57">
            <v>0</v>
          </cell>
          <cell r="D57">
            <v>0</v>
          </cell>
          <cell r="E57">
            <v>0</v>
          </cell>
          <cell r="F57">
            <v>0</v>
          </cell>
          <cell r="G57">
            <v>0</v>
          </cell>
          <cell r="H57">
            <v>0</v>
          </cell>
          <cell r="I57">
            <v>0</v>
          </cell>
          <cell r="J57">
            <v>0</v>
          </cell>
          <cell r="K57">
            <v>0</v>
          </cell>
          <cell r="L57">
            <v>0</v>
          </cell>
        </row>
        <row r="58">
          <cell r="A58">
            <v>53</v>
          </cell>
          <cell r="B58">
            <v>0</v>
          </cell>
          <cell r="C58">
            <v>0</v>
          </cell>
          <cell r="D58">
            <v>0</v>
          </cell>
          <cell r="E58">
            <v>0</v>
          </cell>
          <cell r="F58">
            <v>0</v>
          </cell>
          <cell r="G58">
            <v>0</v>
          </cell>
          <cell r="H58">
            <v>0</v>
          </cell>
          <cell r="I58">
            <v>0</v>
          </cell>
          <cell r="J58">
            <v>0</v>
          </cell>
          <cell r="K58">
            <v>0</v>
          </cell>
          <cell r="L58">
            <v>0</v>
          </cell>
        </row>
        <row r="59">
          <cell r="A59">
            <v>54</v>
          </cell>
          <cell r="B59">
            <v>0</v>
          </cell>
          <cell r="C59">
            <v>0</v>
          </cell>
          <cell r="D59">
            <v>0</v>
          </cell>
          <cell r="E59">
            <v>0</v>
          </cell>
          <cell r="F59">
            <v>0</v>
          </cell>
          <cell r="G59">
            <v>0</v>
          </cell>
          <cell r="H59">
            <v>0</v>
          </cell>
          <cell r="I59">
            <v>0</v>
          </cell>
          <cell r="J59">
            <v>0</v>
          </cell>
          <cell r="K59">
            <v>0</v>
          </cell>
          <cell r="L59">
            <v>0</v>
          </cell>
        </row>
        <row r="60">
          <cell r="A60">
            <v>55</v>
          </cell>
          <cell r="B60">
            <v>0</v>
          </cell>
          <cell r="C60">
            <v>0</v>
          </cell>
          <cell r="D60">
            <v>0</v>
          </cell>
          <cell r="E60">
            <v>0</v>
          </cell>
          <cell r="F60">
            <v>0</v>
          </cell>
          <cell r="G60">
            <v>0</v>
          </cell>
          <cell r="H60">
            <v>0</v>
          </cell>
          <cell r="I60">
            <v>0</v>
          </cell>
          <cell r="J60">
            <v>0</v>
          </cell>
          <cell r="K60">
            <v>0</v>
          </cell>
          <cell r="L60">
            <v>0</v>
          </cell>
        </row>
        <row r="61">
          <cell r="A61">
            <v>56</v>
          </cell>
          <cell r="B61">
            <v>0</v>
          </cell>
          <cell r="C61">
            <v>0</v>
          </cell>
          <cell r="D61">
            <v>0</v>
          </cell>
          <cell r="E61">
            <v>0</v>
          </cell>
          <cell r="F61">
            <v>0</v>
          </cell>
          <cell r="G61">
            <v>0</v>
          </cell>
          <cell r="H61">
            <v>0</v>
          </cell>
          <cell r="I61">
            <v>0</v>
          </cell>
          <cell r="J61">
            <v>0</v>
          </cell>
          <cell r="K61">
            <v>0</v>
          </cell>
          <cell r="L61">
            <v>0</v>
          </cell>
        </row>
        <row r="62">
          <cell r="A62">
            <v>57</v>
          </cell>
          <cell r="B62">
            <v>0</v>
          </cell>
          <cell r="C62">
            <v>0</v>
          </cell>
          <cell r="D62">
            <v>0</v>
          </cell>
          <cell r="E62">
            <v>0</v>
          </cell>
          <cell r="F62">
            <v>0</v>
          </cell>
          <cell r="G62">
            <v>0</v>
          </cell>
          <cell r="H62">
            <v>0</v>
          </cell>
          <cell r="I62">
            <v>0</v>
          </cell>
          <cell r="J62">
            <v>0</v>
          </cell>
          <cell r="K62">
            <v>0</v>
          </cell>
          <cell r="L62">
            <v>0</v>
          </cell>
        </row>
        <row r="63">
          <cell r="A63">
            <v>58</v>
          </cell>
          <cell r="B63">
            <v>0</v>
          </cell>
          <cell r="C63">
            <v>0</v>
          </cell>
          <cell r="D63">
            <v>0</v>
          </cell>
          <cell r="E63">
            <v>0</v>
          </cell>
          <cell r="F63">
            <v>0</v>
          </cell>
          <cell r="G63">
            <v>0</v>
          </cell>
          <cell r="H63">
            <v>0</v>
          </cell>
          <cell r="I63">
            <v>0</v>
          </cell>
          <cell r="J63">
            <v>0</v>
          </cell>
          <cell r="K63">
            <v>0</v>
          </cell>
          <cell r="L63">
            <v>0</v>
          </cell>
        </row>
        <row r="64">
          <cell r="A64">
            <v>59</v>
          </cell>
          <cell r="B64">
            <v>0</v>
          </cell>
          <cell r="C64">
            <v>0</v>
          </cell>
          <cell r="D64">
            <v>0</v>
          </cell>
          <cell r="E64">
            <v>0</v>
          </cell>
          <cell r="F64">
            <v>0</v>
          </cell>
          <cell r="G64">
            <v>0</v>
          </cell>
          <cell r="H64">
            <v>0</v>
          </cell>
          <cell r="I64">
            <v>0</v>
          </cell>
          <cell r="J64">
            <v>0</v>
          </cell>
          <cell r="K64">
            <v>0</v>
          </cell>
          <cell r="L64">
            <v>0</v>
          </cell>
        </row>
        <row r="65">
          <cell r="A65">
            <v>60</v>
          </cell>
          <cell r="B65">
            <v>0</v>
          </cell>
          <cell r="C65">
            <v>0</v>
          </cell>
          <cell r="D65">
            <v>0</v>
          </cell>
          <cell r="E65">
            <v>0</v>
          </cell>
          <cell r="F65">
            <v>0</v>
          </cell>
          <cell r="G65">
            <v>0</v>
          </cell>
          <cell r="H65">
            <v>0</v>
          </cell>
          <cell r="I65">
            <v>0</v>
          </cell>
          <cell r="J65">
            <v>0</v>
          </cell>
          <cell r="K65">
            <v>0</v>
          </cell>
          <cell r="L65">
            <v>0</v>
          </cell>
        </row>
      </sheetData>
      <sheetData sheetId="87">
        <row r="11">
          <cell r="I11">
            <v>1</v>
          </cell>
        </row>
      </sheetData>
      <sheetData sheetId="88">
        <row r="7">
          <cell r="A7">
            <v>1</v>
          </cell>
          <cell r="B7" t="str">
            <v>1. Memahami penggunaan teknologi informasi dan komunikasi, dan prospeknya di masa mendatang</v>
          </cell>
          <cell r="C7" t="str">
            <v>1. 1. Mengidentifikasi berbagai peralatan teknologi informasi dan komunikasi</v>
          </cell>
          <cell r="D7" t="str">
            <v>Peralatan teknologi informasi dan komunikasi</v>
          </cell>
          <cell r="E7" t="str">
            <v xml:space="preserve"> Mengidentifikasi peralatan teknologi informasi dan komunikasi di berbagai bidang dengan cermat dan berhati-hati
 Menjelaskan fungsi berbagai peralatan teknologi informasi dan komunikasi dengan berfikir logis
</v>
          </cell>
          <cell r="F7" t="str">
            <v>Buku Paket &amp; Perangkat TIK (komputer, telepon/ hand-phone, faximail, multi media dll.),
buku paket, lembar kerja</v>
          </cell>
          <cell r="G7" t="str">
            <v>Apakah yang dimaksud dengan komputer, jelaskan !</v>
          </cell>
          <cell r="H7" t="str">
            <v>Secara Bahasa Komputer berasal dari Bahasa Inggris, yakni To Compute, atau Bahasa Latin "Computare. Sedangkan secara istilah komputer adalah alat yang digunakan untuk menginput, memproses, menyimpan dan mengoutputkan sebuat data, agar lebih tertata rapi</v>
          </cell>
        </row>
        <row r="8">
          <cell r="A8">
            <v>2</v>
          </cell>
          <cell r="B8">
            <v>0</v>
          </cell>
          <cell r="C8">
            <v>0</v>
          </cell>
          <cell r="D8">
            <v>0</v>
          </cell>
          <cell r="E8">
            <v>0</v>
          </cell>
          <cell r="F8">
            <v>0</v>
          </cell>
          <cell r="G8">
            <v>0</v>
          </cell>
          <cell r="H8">
            <v>0</v>
          </cell>
        </row>
        <row r="9">
          <cell r="A9">
            <v>3</v>
          </cell>
          <cell r="B9">
            <v>0</v>
          </cell>
          <cell r="C9">
            <v>0</v>
          </cell>
          <cell r="D9">
            <v>0</v>
          </cell>
          <cell r="E9">
            <v>0</v>
          </cell>
          <cell r="F9">
            <v>0</v>
          </cell>
          <cell r="G9">
            <v>0</v>
          </cell>
          <cell r="H9">
            <v>0</v>
          </cell>
        </row>
        <row r="10">
          <cell r="A10">
            <v>4</v>
          </cell>
          <cell r="B10">
            <v>0</v>
          </cell>
          <cell r="C10">
            <v>0</v>
          </cell>
          <cell r="D10">
            <v>0</v>
          </cell>
          <cell r="E10">
            <v>0</v>
          </cell>
          <cell r="F10">
            <v>0</v>
          </cell>
          <cell r="G10">
            <v>0</v>
          </cell>
          <cell r="H10">
            <v>0</v>
          </cell>
        </row>
        <row r="11">
          <cell r="A11">
            <v>5</v>
          </cell>
          <cell r="B11">
            <v>0</v>
          </cell>
          <cell r="C11">
            <v>0</v>
          </cell>
          <cell r="D11">
            <v>0</v>
          </cell>
          <cell r="E11">
            <v>0</v>
          </cell>
          <cell r="F11">
            <v>0</v>
          </cell>
          <cell r="G11">
            <v>0</v>
          </cell>
          <cell r="H11">
            <v>0</v>
          </cell>
        </row>
        <row r="12">
          <cell r="A12">
            <v>6</v>
          </cell>
          <cell r="B12">
            <v>0</v>
          </cell>
          <cell r="C12">
            <v>0</v>
          </cell>
          <cell r="D12">
            <v>0</v>
          </cell>
          <cell r="E12">
            <v>0</v>
          </cell>
          <cell r="F12">
            <v>0</v>
          </cell>
          <cell r="G12">
            <v>0</v>
          </cell>
          <cell r="H12">
            <v>0</v>
          </cell>
        </row>
        <row r="13">
          <cell r="A13">
            <v>7</v>
          </cell>
          <cell r="B13">
            <v>0</v>
          </cell>
          <cell r="C13">
            <v>0</v>
          </cell>
          <cell r="D13">
            <v>0</v>
          </cell>
          <cell r="E13">
            <v>0</v>
          </cell>
          <cell r="F13">
            <v>0</v>
          </cell>
          <cell r="G13">
            <v>0</v>
          </cell>
          <cell r="H13">
            <v>0</v>
          </cell>
        </row>
        <row r="14">
          <cell r="A14">
            <v>8</v>
          </cell>
          <cell r="B14">
            <v>0</v>
          </cell>
          <cell r="C14">
            <v>0</v>
          </cell>
          <cell r="D14">
            <v>0</v>
          </cell>
          <cell r="E14">
            <v>0</v>
          </cell>
          <cell r="F14">
            <v>0</v>
          </cell>
          <cell r="G14">
            <v>0</v>
          </cell>
          <cell r="H14">
            <v>0</v>
          </cell>
        </row>
        <row r="15">
          <cell r="A15">
            <v>9</v>
          </cell>
          <cell r="B15">
            <v>0</v>
          </cell>
          <cell r="C15">
            <v>0</v>
          </cell>
          <cell r="D15">
            <v>0</v>
          </cell>
          <cell r="E15">
            <v>0</v>
          </cell>
          <cell r="F15">
            <v>0</v>
          </cell>
          <cell r="G15">
            <v>0</v>
          </cell>
          <cell r="H15">
            <v>0</v>
          </cell>
        </row>
        <row r="16">
          <cell r="A16">
            <v>10</v>
          </cell>
          <cell r="B16">
            <v>0</v>
          </cell>
          <cell r="C16">
            <v>0</v>
          </cell>
          <cell r="D16">
            <v>0</v>
          </cell>
          <cell r="E16">
            <v>0</v>
          </cell>
          <cell r="F16">
            <v>0</v>
          </cell>
          <cell r="G16">
            <v>0</v>
          </cell>
          <cell r="H16">
            <v>0</v>
          </cell>
        </row>
        <row r="17">
          <cell r="A17">
            <v>11</v>
          </cell>
          <cell r="B17">
            <v>0</v>
          </cell>
          <cell r="C17">
            <v>0</v>
          </cell>
          <cell r="D17">
            <v>0</v>
          </cell>
          <cell r="E17">
            <v>0</v>
          </cell>
          <cell r="F17">
            <v>0</v>
          </cell>
          <cell r="G17">
            <v>0</v>
          </cell>
          <cell r="H17">
            <v>0</v>
          </cell>
        </row>
        <row r="18">
          <cell r="A18">
            <v>12</v>
          </cell>
          <cell r="B18">
            <v>0</v>
          </cell>
          <cell r="C18">
            <v>0</v>
          </cell>
          <cell r="D18">
            <v>0</v>
          </cell>
          <cell r="E18">
            <v>0</v>
          </cell>
          <cell r="F18">
            <v>0</v>
          </cell>
          <cell r="G18">
            <v>0</v>
          </cell>
          <cell r="H18">
            <v>0</v>
          </cell>
        </row>
        <row r="19">
          <cell r="A19">
            <v>13</v>
          </cell>
          <cell r="B19">
            <v>0</v>
          </cell>
          <cell r="C19">
            <v>0</v>
          </cell>
          <cell r="D19">
            <v>0</v>
          </cell>
          <cell r="E19">
            <v>0</v>
          </cell>
          <cell r="F19">
            <v>0</v>
          </cell>
          <cell r="G19">
            <v>0</v>
          </cell>
          <cell r="H19">
            <v>0</v>
          </cell>
        </row>
        <row r="20">
          <cell r="A20">
            <v>14</v>
          </cell>
          <cell r="B20">
            <v>0</v>
          </cell>
          <cell r="C20">
            <v>0</v>
          </cell>
          <cell r="D20">
            <v>0</v>
          </cell>
          <cell r="E20">
            <v>0</v>
          </cell>
          <cell r="F20">
            <v>0</v>
          </cell>
          <cell r="G20">
            <v>0</v>
          </cell>
          <cell r="H20">
            <v>0</v>
          </cell>
        </row>
        <row r="21">
          <cell r="A21">
            <v>15</v>
          </cell>
          <cell r="B21">
            <v>0</v>
          </cell>
          <cell r="C21">
            <v>0</v>
          </cell>
          <cell r="D21">
            <v>0</v>
          </cell>
          <cell r="E21">
            <v>0</v>
          </cell>
          <cell r="F21">
            <v>0</v>
          </cell>
          <cell r="G21">
            <v>0</v>
          </cell>
          <cell r="H21">
            <v>0</v>
          </cell>
        </row>
        <row r="22">
          <cell r="A22">
            <v>16</v>
          </cell>
          <cell r="B22">
            <v>0</v>
          </cell>
          <cell r="C22">
            <v>0</v>
          </cell>
          <cell r="D22">
            <v>0</v>
          </cell>
          <cell r="E22">
            <v>0</v>
          </cell>
          <cell r="F22">
            <v>0</v>
          </cell>
          <cell r="G22">
            <v>0</v>
          </cell>
          <cell r="H22">
            <v>0</v>
          </cell>
        </row>
        <row r="23">
          <cell r="A23">
            <v>17</v>
          </cell>
          <cell r="B23">
            <v>0</v>
          </cell>
          <cell r="C23">
            <v>0</v>
          </cell>
          <cell r="D23">
            <v>0</v>
          </cell>
          <cell r="E23">
            <v>0</v>
          </cell>
          <cell r="F23">
            <v>0</v>
          </cell>
          <cell r="G23">
            <v>0</v>
          </cell>
          <cell r="H23">
            <v>0</v>
          </cell>
        </row>
        <row r="24">
          <cell r="A24">
            <v>18</v>
          </cell>
          <cell r="B24">
            <v>0</v>
          </cell>
          <cell r="C24">
            <v>0</v>
          </cell>
          <cell r="D24">
            <v>0</v>
          </cell>
          <cell r="E24">
            <v>0</v>
          </cell>
          <cell r="F24">
            <v>0</v>
          </cell>
          <cell r="G24">
            <v>0</v>
          </cell>
          <cell r="H24">
            <v>0</v>
          </cell>
        </row>
        <row r="25">
          <cell r="A25">
            <v>19</v>
          </cell>
          <cell r="B25">
            <v>0</v>
          </cell>
          <cell r="C25">
            <v>0</v>
          </cell>
          <cell r="D25">
            <v>0</v>
          </cell>
          <cell r="E25">
            <v>0</v>
          </cell>
          <cell r="F25">
            <v>0</v>
          </cell>
          <cell r="G25">
            <v>0</v>
          </cell>
          <cell r="H25">
            <v>0</v>
          </cell>
        </row>
        <row r="26">
          <cell r="A26">
            <v>20</v>
          </cell>
          <cell r="B26">
            <v>0</v>
          </cell>
          <cell r="C26">
            <v>0</v>
          </cell>
          <cell r="D26">
            <v>0</v>
          </cell>
          <cell r="E26">
            <v>0</v>
          </cell>
          <cell r="F26">
            <v>0</v>
          </cell>
          <cell r="G26">
            <v>0</v>
          </cell>
          <cell r="H26">
            <v>0</v>
          </cell>
        </row>
      </sheetData>
      <sheetData sheetId="89"/>
      <sheetData sheetId="90"/>
      <sheetData sheetId="91"/>
      <sheetData sheetId="92">
        <row r="1">
          <cell r="W1" t="str">
            <v xml:space="preserve"> 1-A</v>
          </cell>
          <cell r="X1">
            <v>36</v>
          </cell>
        </row>
        <row r="2">
          <cell r="W2" t="str">
            <v xml:space="preserve"> 1-B</v>
          </cell>
          <cell r="X2">
            <v>35</v>
          </cell>
        </row>
        <row r="3">
          <cell r="W3" t="str">
            <v xml:space="preserve"> 1-C</v>
          </cell>
          <cell r="X3">
            <v>0</v>
          </cell>
        </row>
        <row r="4">
          <cell r="W4" t="str">
            <v xml:space="preserve"> 1-D</v>
          </cell>
          <cell r="X4">
            <v>0</v>
          </cell>
        </row>
        <row r="5">
          <cell r="W5" t="str">
            <v xml:space="preserve"> 1-E</v>
          </cell>
          <cell r="X5">
            <v>0</v>
          </cell>
        </row>
        <row r="6">
          <cell r="W6" t="str">
            <v xml:space="preserve"> 1-F</v>
          </cell>
          <cell r="X6">
            <v>0</v>
          </cell>
        </row>
        <row r="7">
          <cell r="W7" t="str">
            <v xml:space="preserve"> 1-G</v>
          </cell>
          <cell r="X7">
            <v>0</v>
          </cell>
        </row>
        <row r="8">
          <cell r="W8" t="str">
            <v xml:space="preserve"> 1-H</v>
          </cell>
          <cell r="X8">
            <v>0</v>
          </cell>
        </row>
        <row r="14">
          <cell r="AB14" t="str">
            <v xml:space="preserve"> 1-A</v>
          </cell>
          <cell r="AC14" t="str">
            <v xml:space="preserve"> 1-B</v>
          </cell>
          <cell r="AD14" t="str">
            <v xml:space="preserve"> 1-C</v>
          </cell>
          <cell r="AE14" t="str">
            <v xml:space="preserve"> 1-D</v>
          </cell>
          <cell r="AF14" t="str">
            <v xml:space="preserve"> 1-E</v>
          </cell>
          <cell r="AG14" t="str">
            <v xml:space="preserve"> 1-F</v>
          </cell>
          <cell r="AH14" t="str">
            <v xml:space="preserve"> 1-G</v>
          </cell>
          <cell r="AI14" t="str">
            <v xml:space="preserve"> 1-H</v>
          </cell>
        </row>
        <row r="15">
          <cell r="AB15">
            <v>74.772222222222211</v>
          </cell>
          <cell r="AC15" t="str">
            <v/>
          </cell>
          <cell r="AD15" t="str">
            <v/>
          </cell>
          <cell r="AE15" t="str">
            <v/>
          </cell>
          <cell r="AF15" t="str">
            <v/>
          </cell>
          <cell r="AG15" t="str">
            <v/>
          </cell>
          <cell r="AH15" t="str">
            <v/>
          </cell>
          <cell r="AI15" t="str">
            <v/>
          </cell>
        </row>
      </sheetData>
      <sheetData sheetId="93"/>
      <sheetData sheetId="94"/>
      <sheetData sheetId="95"/>
      <sheetData sheetId="96"/>
      <sheetData sheetId="97"/>
      <sheetData sheetId="98"/>
      <sheetData sheetId="9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7"/>
  </sheetPr>
  <dimension ref="A1:M51"/>
  <sheetViews>
    <sheetView showGridLines="0" showRowColHeaders="0" zoomScaleNormal="100" zoomScaleSheetLayoutView="55" workbookViewId="0">
      <pane ySplit="1" topLeftCell="A14" activePane="bottomLeft" state="frozenSplit"/>
      <selection activeCell="C1" sqref="C1"/>
      <selection pane="bottomLeft" activeCell="L1" sqref="L1"/>
    </sheetView>
  </sheetViews>
  <sheetFormatPr defaultColWidth="9.140625" defaultRowHeight="15.75" x14ac:dyDescent="0.25"/>
  <cols>
    <col min="1" max="1" width="6.28515625" style="138" customWidth="1"/>
    <col min="2" max="2" width="1.7109375" style="138" customWidth="1"/>
    <col min="3" max="3" width="27.85546875" style="138" customWidth="1"/>
    <col min="4" max="5" width="5.140625" style="138" customWidth="1"/>
    <col min="6" max="6" width="34" style="138" customWidth="1"/>
    <col min="7" max="9" width="6" style="138" customWidth="1"/>
    <col min="10" max="10" width="3.85546875" style="138" customWidth="1"/>
    <col min="11" max="11" width="1.7109375" style="138" customWidth="1"/>
    <col min="12" max="12" width="7.42578125" style="138" customWidth="1"/>
    <col min="13" max="16384" width="9.140625" style="138"/>
  </cols>
  <sheetData>
    <row r="1" spans="1:13" ht="28.5" customHeight="1" x14ac:dyDescent="0.35">
      <c r="A1" s="136"/>
      <c r="B1" s="136"/>
      <c r="C1" s="136"/>
      <c r="D1" s="136"/>
      <c r="E1" s="136"/>
      <c r="F1" s="137"/>
      <c r="G1" s="137"/>
      <c r="H1" s="137"/>
      <c r="I1" s="137"/>
      <c r="J1" s="137"/>
      <c r="K1" s="137"/>
      <c r="L1" s="72" t="s">
        <v>248</v>
      </c>
      <c r="M1" s="331" t="s">
        <v>265</v>
      </c>
    </row>
    <row r="2" spans="1:13" ht="8.25" customHeight="1" thickBot="1" x14ac:dyDescent="0.4">
      <c r="A2" s="136"/>
      <c r="B2" s="139"/>
      <c r="C2" s="520"/>
      <c r="D2" s="520"/>
      <c r="E2" s="520"/>
      <c r="F2" s="520"/>
      <c r="G2" s="520"/>
      <c r="H2" s="520"/>
      <c r="I2" s="520"/>
      <c r="J2" s="520"/>
      <c r="K2" s="139"/>
      <c r="L2" s="136"/>
    </row>
    <row r="3" spans="1:13" ht="15.75" customHeight="1" thickTop="1" x14ac:dyDescent="0.35">
      <c r="A3" s="136"/>
      <c r="B3" s="139"/>
      <c r="C3" s="140"/>
      <c r="D3" s="141"/>
      <c r="E3" s="141"/>
      <c r="F3" s="141"/>
      <c r="G3" s="141"/>
      <c r="H3" s="141"/>
      <c r="I3" s="141"/>
      <c r="J3" s="142"/>
      <c r="K3" s="139"/>
      <c r="L3" s="136"/>
    </row>
    <row r="4" spans="1:13" ht="15.75" customHeight="1" x14ac:dyDescent="0.35">
      <c r="A4" s="136"/>
      <c r="B4" s="139"/>
      <c r="C4" s="143"/>
      <c r="D4" s="139"/>
      <c r="E4" s="139"/>
      <c r="F4" s="139"/>
      <c r="G4" s="139"/>
      <c r="H4" s="139"/>
      <c r="I4" s="139"/>
      <c r="J4" s="144"/>
      <c r="K4" s="139"/>
      <c r="L4" s="136"/>
    </row>
    <row r="5" spans="1:13" ht="15.75" customHeight="1" x14ac:dyDescent="0.35">
      <c r="A5" s="136"/>
      <c r="B5" s="139"/>
      <c r="C5" s="143"/>
      <c r="D5" s="139"/>
      <c r="E5" s="139"/>
      <c r="F5" s="139"/>
      <c r="G5" s="139"/>
      <c r="H5" s="139"/>
      <c r="I5" s="139"/>
      <c r="J5" s="144"/>
      <c r="K5" s="139"/>
      <c r="L5" s="136"/>
    </row>
    <row r="6" spans="1:13" ht="15.75" customHeight="1" x14ac:dyDescent="0.35">
      <c r="A6" s="136"/>
      <c r="B6" s="139"/>
      <c r="C6" s="143"/>
      <c r="D6" s="139"/>
      <c r="E6" s="139"/>
      <c r="F6" s="139"/>
      <c r="G6" s="139"/>
      <c r="H6" s="139"/>
      <c r="I6" s="139"/>
      <c r="J6" s="144"/>
      <c r="K6" s="139"/>
      <c r="L6" s="136"/>
    </row>
    <row r="7" spans="1:13" ht="15.75" customHeight="1" x14ac:dyDescent="0.35">
      <c r="A7" s="136"/>
      <c r="B7" s="139"/>
      <c r="C7" s="143"/>
      <c r="D7" s="139"/>
      <c r="E7" s="139"/>
      <c r="F7" s="139"/>
      <c r="G7" s="139"/>
      <c r="H7" s="139"/>
      <c r="I7" s="139"/>
      <c r="J7" s="144"/>
      <c r="K7" s="139"/>
      <c r="L7" s="136"/>
    </row>
    <row r="8" spans="1:13" ht="15.75" customHeight="1" x14ac:dyDescent="0.35">
      <c r="A8" s="136"/>
      <c r="B8" s="139"/>
      <c r="C8" s="143"/>
      <c r="D8" s="139"/>
      <c r="E8" s="139"/>
      <c r="F8" s="139"/>
      <c r="G8" s="139"/>
      <c r="H8" s="139"/>
      <c r="I8" s="139"/>
      <c r="J8" s="144"/>
      <c r="K8" s="139"/>
      <c r="L8" s="136"/>
    </row>
    <row r="9" spans="1:13" ht="15.75" customHeight="1" x14ac:dyDescent="0.35">
      <c r="A9" s="136"/>
      <c r="B9" s="139"/>
      <c r="C9" s="143"/>
      <c r="D9" s="139"/>
      <c r="E9" s="139"/>
      <c r="F9" s="139"/>
      <c r="G9" s="139"/>
      <c r="H9" s="139"/>
      <c r="I9" s="139"/>
      <c r="J9" s="144"/>
      <c r="K9" s="139"/>
      <c r="L9" s="136"/>
    </row>
    <row r="10" spans="1:13" ht="15.75" customHeight="1" x14ac:dyDescent="0.35">
      <c r="A10" s="136"/>
      <c r="B10" s="139"/>
      <c r="C10" s="143"/>
      <c r="D10" s="139"/>
      <c r="E10" s="139"/>
      <c r="F10" s="139"/>
      <c r="G10" s="139"/>
      <c r="H10" s="139"/>
      <c r="I10" s="139"/>
      <c r="J10" s="144"/>
      <c r="K10" s="139"/>
      <c r="L10" s="136"/>
    </row>
    <row r="11" spans="1:13" ht="15.75" customHeight="1" x14ac:dyDescent="0.35">
      <c r="A11" s="136"/>
      <c r="B11" s="139"/>
      <c r="C11" s="143"/>
      <c r="D11" s="139"/>
      <c r="E11" s="139"/>
      <c r="F11" s="139"/>
      <c r="G11" s="139"/>
      <c r="H11" s="139"/>
      <c r="I11" s="139"/>
      <c r="J11" s="144"/>
      <c r="K11" s="139"/>
      <c r="L11" s="136"/>
    </row>
    <row r="12" spans="1:13" ht="15.75" customHeight="1" x14ac:dyDescent="0.35">
      <c r="A12" s="136"/>
      <c r="B12" s="139"/>
      <c r="C12" s="143"/>
      <c r="D12" s="139"/>
      <c r="E12" s="139"/>
      <c r="F12" s="139"/>
      <c r="G12" s="139"/>
      <c r="H12" s="139"/>
      <c r="I12" s="139"/>
      <c r="J12" s="144"/>
      <c r="K12" s="139"/>
      <c r="L12" s="136"/>
    </row>
    <row r="13" spans="1:13" ht="15.75" customHeight="1" x14ac:dyDescent="0.35">
      <c r="A13" s="136"/>
      <c r="B13" s="139"/>
      <c r="C13" s="143"/>
      <c r="D13" s="139"/>
      <c r="E13" s="139"/>
      <c r="F13" s="139"/>
      <c r="G13" s="139"/>
      <c r="H13" s="139"/>
      <c r="I13" s="139"/>
      <c r="J13" s="144"/>
      <c r="K13" s="139"/>
      <c r="L13" s="136"/>
    </row>
    <row r="14" spans="1:13" ht="15.75" customHeight="1" x14ac:dyDescent="0.35">
      <c r="A14" s="136"/>
      <c r="B14" s="139"/>
      <c r="C14" s="143"/>
      <c r="D14" s="139"/>
      <c r="E14" s="139"/>
      <c r="F14" s="139"/>
      <c r="G14" s="139"/>
      <c r="H14" s="139"/>
      <c r="I14" s="139"/>
      <c r="J14" s="144"/>
      <c r="K14" s="139"/>
      <c r="L14" s="136"/>
    </row>
    <row r="15" spans="1:13" ht="15.75" customHeight="1" x14ac:dyDescent="0.35">
      <c r="A15" s="136"/>
      <c r="B15" s="139"/>
      <c r="C15" s="143"/>
      <c r="D15" s="139"/>
      <c r="E15" s="139"/>
      <c r="F15" s="139"/>
      <c r="G15" s="139"/>
      <c r="H15" s="139"/>
      <c r="I15" s="139"/>
      <c r="J15" s="144"/>
      <c r="K15" s="139"/>
      <c r="L15" s="136"/>
    </row>
    <row r="16" spans="1:13" ht="30.95" x14ac:dyDescent="0.7">
      <c r="A16" s="136"/>
      <c r="B16" s="139"/>
      <c r="C16" s="521" t="s">
        <v>249</v>
      </c>
      <c r="D16" s="522"/>
      <c r="E16" s="522"/>
      <c r="F16" s="522"/>
      <c r="G16" s="522"/>
      <c r="H16" s="522"/>
      <c r="I16" s="522"/>
      <c r="J16" s="523"/>
      <c r="K16" s="145"/>
      <c r="L16" s="136"/>
    </row>
    <row r="17" spans="1:12" ht="19.5" customHeight="1" x14ac:dyDescent="0.55000000000000004">
      <c r="A17" s="136"/>
      <c r="B17" s="139"/>
      <c r="C17" s="524" t="s">
        <v>256</v>
      </c>
      <c r="D17" s="525"/>
      <c r="E17" s="525"/>
      <c r="F17" s="525"/>
      <c r="G17" s="525"/>
      <c r="H17" s="525"/>
      <c r="I17" s="525"/>
      <c r="J17" s="526"/>
      <c r="K17" s="145"/>
      <c r="L17" s="136"/>
    </row>
    <row r="18" spans="1:12" ht="19.5" customHeight="1" x14ac:dyDescent="0.45">
      <c r="A18" s="136"/>
      <c r="B18" s="139"/>
      <c r="C18" s="527" t="s">
        <v>252</v>
      </c>
      <c r="D18" s="528"/>
      <c r="E18" s="528"/>
      <c r="F18" s="528"/>
      <c r="G18" s="528"/>
      <c r="H18" s="528"/>
      <c r="I18" s="528"/>
      <c r="J18" s="529"/>
      <c r="K18" s="145"/>
      <c r="L18" s="136"/>
    </row>
    <row r="19" spans="1:12" ht="19.5" customHeight="1" x14ac:dyDescent="0.5">
      <c r="A19" s="136"/>
      <c r="B19" s="139"/>
      <c r="C19" s="146"/>
      <c r="D19" s="147"/>
      <c r="E19" s="147"/>
      <c r="F19" s="147"/>
      <c r="G19" s="147"/>
      <c r="H19" s="147"/>
      <c r="I19" s="147"/>
      <c r="J19" s="148"/>
      <c r="K19" s="145"/>
      <c r="L19" s="136"/>
    </row>
    <row r="20" spans="1:12" ht="19.5" customHeight="1" x14ac:dyDescent="0.5">
      <c r="A20" s="136"/>
      <c r="B20" s="139"/>
      <c r="C20" s="146"/>
      <c r="D20" s="147"/>
      <c r="E20" s="147"/>
      <c r="F20" s="147"/>
      <c r="G20" s="147"/>
      <c r="H20" s="147"/>
      <c r="I20" s="147"/>
      <c r="J20" s="148"/>
      <c r="K20" s="145"/>
      <c r="L20" s="136"/>
    </row>
    <row r="21" spans="1:12" ht="19.5" customHeight="1" x14ac:dyDescent="0.5">
      <c r="A21" s="136"/>
      <c r="B21" s="139"/>
      <c r="C21" s="146"/>
      <c r="D21" s="147"/>
      <c r="E21" s="147"/>
      <c r="F21" s="147"/>
      <c r="G21" s="147"/>
      <c r="H21" s="147"/>
      <c r="I21" s="147"/>
      <c r="J21" s="148"/>
      <c r="K21" s="145"/>
      <c r="L21" s="136"/>
    </row>
    <row r="22" spans="1:12" ht="15.6" x14ac:dyDescent="0.35">
      <c r="A22" s="136"/>
      <c r="B22" s="139"/>
      <c r="C22" s="149"/>
      <c r="D22" s="150"/>
      <c r="E22" s="150"/>
      <c r="F22" s="150"/>
      <c r="G22" s="150"/>
      <c r="H22" s="150"/>
      <c r="I22" s="150"/>
      <c r="J22" s="151"/>
      <c r="K22" s="150"/>
      <c r="L22" s="136"/>
    </row>
    <row r="23" spans="1:12" ht="15.6" x14ac:dyDescent="0.35">
      <c r="A23" s="136"/>
      <c r="B23" s="139"/>
      <c r="C23" s="149"/>
      <c r="D23" s="150"/>
      <c r="E23" s="150"/>
      <c r="F23" s="150"/>
      <c r="G23" s="150"/>
      <c r="H23" s="150"/>
      <c r="I23" s="150"/>
      <c r="J23" s="151"/>
      <c r="K23" s="150"/>
      <c r="L23" s="136"/>
    </row>
    <row r="24" spans="1:12" s="153" customFormat="1" ht="18" customHeight="1" x14ac:dyDescent="0.35">
      <c r="A24" s="136"/>
      <c r="B24" s="139"/>
      <c r="C24" s="530" t="s">
        <v>250</v>
      </c>
      <c r="D24" s="531"/>
      <c r="E24" s="531"/>
      <c r="F24" s="531"/>
      <c r="G24" s="531"/>
      <c r="H24" s="531"/>
      <c r="I24" s="531"/>
      <c r="J24" s="532"/>
      <c r="K24" s="152"/>
      <c r="L24" s="136"/>
    </row>
    <row r="25" spans="1:12" s="153" customFormat="1" ht="18" customHeight="1" x14ac:dyDescent="0.35">
      <c r="A25" s="136"/>
      <c r="B25" s="139"/>
      <c r="C25" s="509" t="str">
        <f>'DOK. EVALUASI KINERJA PEGAWAI'!D15&amp;""</f>
        <v>01 JANUARI 2022 S.D 31 DESEMBER 2022</v>
      </c>
      <c r="D25" s="510"/>
      <c r="E25" s="510"/>
      <c r="F25" s="510"/>
      <c r="G25" s="510"/>
      <c r="H25" s="510"/>
      <c r="I25" s="510"/>
      <c r="J25" s="511"/>
      <c r="K25" s="152"/>
      <c r="L25" s="136"/>
    </row>
    <row r="26" spans="1:12" s="153" customFormat="1" ht="20.25" customHeight="1" x14ac:dyDescent="0.35">
      <c r="A26" s="136"/>
      <c r="B26" s="139"/>
      <c r="C26" s="509"/>
      <c r="D26" s="510"/>
      <c r="E26" s="510"/>
      <c r="F26" s="510"/>
      <c r="G26" s="510"/>
      <c r="H26" s="510"/>
      <c r="I26" s="510"/>
      <c r="J26" s="511"/>
      <c r="K26" s="152"/>
      <c r="L26" s="136"/>
    </row>
    <row r="27" spans="1:12" ht="21" x14ac:dyDescent="0.35">
      <c r="A27" s="136"/>
      <c r="B27" s="139"/>
      <c r="C27" s="154"/>
      <c r="D27" s="155"/>
      <c r="E27" s="155"/>
      <c r="F27" s="155"/>
      <c r="G27" s="155"/>
      <c r="H27" s="155"/>
      <c r="I27" s="155"/>
      <c r="J27" s="156"/>
      <c r="K27" s="155"/>
      <c r="L27" s="136"/>
    </row>
    <row r="28" spans="1:12" ht="21" x14ac:dyDescent="0.35">
      <c r="A28" s="136"/>
      <c r="B28" s="139"/>
      <c r="C28" s="154"/>
      <c r="D28" s="155"/>
      <c r="E28" s="155"/>
      <c r="F28" s="155"/>
      <c r="G28" s="155"/>
      <c r="H28" s="155"/>
      <c r="I28" s="155"/>
      <c r="J28" s="156"/>
      <c r="K28" s="155"/>
      <c r="L28" s="136"/>
    </row>
    <row r="29" spans="1:12" ht="21" x14ac:dyDescent="0.35">
      <c r="A29" s="136"/>
      <c r="B29" s="139"/>
      <c r="C29" s="154"/>
      <c r="D29" s="155"/>
      <c r="E29" s="155"/>
      <c r="F29" s="155"/>
      <c r="G29" s="155"/>
      <c r="H29" s="155"/>
      <c r="I29" s="155"/>
      <c r="J29" s="156"/>
      <c r="K29" s="155"/>
      <c r="L29" s="136"/>
    </row>
    <row r="30" spans="1:12" ht="21" x14ac:dyDescent="0.25">
      <c r="A30" s="136"/>
      <c r="B30" s="139"/>
      <c r="C30" s="154"/>
      <c r="D30" s="155"/>
      <c r="E30" s="155"/>
      <c r="F30" s="155"/>
      <c r="G30" s="155"/>
      <c r="H30" s="155"/>
      <c r="I30" s="155"/>
      <c r="J30" s="156"/>
      <c r="K30" s="155"/>
      <c r="L30" s="136"/>
    </row>
    <row r="31" spans="1:12" ht="21" x14ac:dyDescent="0.25">
      <c r="A31" s="136"/>
      <c r="B31" s="139"/>
      <c r="C31" s="154"/>
      <c r="D31" s="155"/>
      <c r="E31" s="155"/>
      <c r="F31" s="155"/>
      <c r="G31" s="155"/>
      <c r="H31" s="155"/>
      <c r="I31" s="155"/>
      <c r="J31" s="156"/>
      <c r="K31" s="155"/>
      <c r="L31" s="136"/>
    </row>
    <row r="32" spans="1:12" ht="21" x14ac:dyDescent="0.25">
      <c r="A32" s="136"/>
      <c r="B32" s="139"/>
      <c r="C32" s="177" t="s">
        <v>5</v>
      </c>
      <c r="D32" s="175" t="s">
        <v>77</v>
      </c>
      <c r="E32" s="176" t="str">
        <f>'SKP JF (KUANTITATIF)'!D8&amp;""</f>
        <v>RUSLAN, S.Pd</v>
      </c>
      <c r="F32" s="161"/>
      <c r="G32" s="161"/>
      <c r="H32" s="161"/>
      <c r="I32" s="161"/>
      <c r="J32" s="159"/>
      <c r="K32" s="160"/>
      <c r="L32" s="136"/>
    </row>
    <row r="33" spans="1:12" ht="15.75" customHeight="1" x14ac:dyDescent="0.25">
      <c r="A33" s="136"/>
      <c r="B33" s="139"/>
      <c r="C33" s="177" t="s">
        <v>6</v>
      </c>
      <c r="D33" s="175" t="s">
        <v>77</v>
      </c>
      <c r="E33" s="161" t="str">
        <f>'SKP JF (KUANTITATIF)'!D9&amp;""</f>
        <v>19660625 199112 1 001</v>
      </c>
      <c r="F33" s="161"/>
      <c r="G33" s="161"/>
      <c r="H33" s="161"/>
      <c r="I33" s="161"/>
      <c r="J33" s="159"/>
      <c r="K33" s="160"/>
      <c r="L33" s="136"/>
    </row>
    <row r="34" spans="1:12" ht="15.75" customHeight="1" x14ac:dyDescent="0.25">
      <c r="A34" s="136"/>
      <c r="B34" s="139"/>
      <c r="C34" s="177" t="s">
        <v>251</v>
      </c>
      <c r="D34" s="175" t="s">
        <v>77</v>
      </c>
      <c r="E34" s="161" t="str">
        <f>'SKP JF (KUANTITATIF)'!D10&amp;""</f>
        <v xml:space="preserve">PEMBINA TK.I/ IV.b </v>
      </c>
      <c r="F34" s="161"/>
      <c r="G34" s="161"/>
      <c r="H34" s="161"/>
      <c r="I34" s="161"/>
      <c r="J34" s="151"/>
      <c r="K34" s="150"/>
      <c r="L34" s="136"/>
    </row>
    <row r="35" spans="1:12" ht="15.75" customHeight="1" x14ac:dyDescent="0.25">
      <c r="A35" s="136"/>
      <c r="B35" s="139"/>
      <c r="C35" s="177" t="s">
        <v>8</v>
      </c>
      <c r="D35" s="175" t="s">
        <v>77</v>
      </c>
      <c r="E35" s="161" t="str">
        <f>'SKP JF (KUANTITATIF)'!D11&amp;""</f>
        <v>KEPALA SEKOLAH</v>
      </c>
      <c r="F35" s="161"/>
      <c r="G35" s="161"/>
      <c r="H35" s="161"/>
      <c r="I35" s="161"/>
      <c r="J35" s="151"/>
      <c r="K35" s="150"/>
      <c r="L35" s="136"/>
    </row>
    <row r="36" spans="1:12" ht="18.75" x14ac:dyDescent="0.25">
      <c r="A36" s="136"/>
      <c r="B36" s="139"/>
      <c r="C36" s="177" t="s">
        <v>9</v>
      </c>
      <c r="D36" s="175" t="s">
        <v>77</v>
      </c>
      <c r="E36" s="512" t="str">
        <f>'SKP JF (KUANTITATIF)'!D12&amp;""</f>
        <v>UPTD SDN 1 KOTABUMI TENGAH KAB. LAMPUNG UTARA</v>
      </c>
      <c r="F36" s="513"/>
      <c r="G36" s="513"/>
      <c r="H36" s="513"/>
      <c r="I36" s="513"/>
      <c r="J36" s="151"/>
      <c r="K36" s="150"/>
      <c r="L36" s="136"/>
    </row>
    <row r="37" spans="1:12" ht="18.75" x14ac:dyDescent="0.25">
      <c r="A37" s="136"/>
      <c r="B37" s="139"/>
      <c r="C37" s="174"/>
      <c r="D37" s="175"/>
      <c r="E37" s="513"/>
      <c r="F37" s="513"/>
      <c r="G37" s="513"/>
      <c r="H37" s="513"/>
      <c r="I37" s="513"/>
      <c r="J37" s="162"/>
      <c r="K37" s="163"/>
      <c r="L37" s="136"/>
    </row>
    <row r="38" spans="1:12" ht="19.5" customHeight="1" x14ac:dyDescent="0.3">
      <c r="A38" s="136"/>
      <c r="B38" s="139"/>
      <c r="C38" s="157"/>
      <c r="D38" s="158"/>
      <c r="E38" s="158"/>
      <c r="F38" s="164"/>
      <c r="G38" s="164"/>
      <c r="H38" s="164"/>
      <c r="I38" s="164"/>
      <c r="J38" s="162"/>
      <c r="K38" s="163"/>
      <c r="L38" s="136"/>
    </row>
    <row r="39" spans="1:12" ht="15.75" customHeight="1" x14ac:dyDescent="0.3">
      <c r="A39" s="136"/>
      <c r="B39" s="139"/>
      <c r="C39" s="165"/>
      <c r="D39" s="166"/>
      <c r="E39" s="166"/>
      <c r="F39" s="166"/>
      <c r="G39" s="166"/>
      <c r="H39" s="166"/>
      <c r="I39" s="166"/>
      <c r="J39" s="151"/>
      <c r="K39" s="150"/>
      <c r="L39" s="136"/>
    </row>
    <row r="40" spans="1:12" ht="15.75" customHeight="1" x14ac:dyDescent="0.3">
      <c r="A40" s="136"/>
      <c r="B40" s="139"/>
      <c r="C40" s="165"/>
      <c r="D40" s="166"/>
      <c r="E40" s="166"/>
      <c r="F40" s="166"/>
      <c r="G40" s="166"/>
      <c r="H40" s="166"/>
      <c r="I40" s="166"/>
      <c r="J40" s="151"/>
      <c r="K40" s="150"/>
      <c r="L40" s="136"/>
    </row>
    <row r="41" spans="1:12" ht="15.75" customHeight="1" x14ac:dyDescent="0.3">
      <c r="A41" s="136"/>
      <c r="B41" s="139"/>
      <c r="C41" s="165"/>
      <c r="D41" s="166"/>
      <c r="E41" s="166"/>
      <c r="F41" s="166"/>
      <c r="G41" s="166"/>
      <c r="H41" s="166"/>
      <c r="I41" s="166"/>
      <c r="J41" s="151"/>
      <c r="K41" s="150"/>
      <c r="L41" s="136"/>
    </row>
    <row r="42" spans="1:12" ht="15.75" customHeight="1" x14ac:dyDescent="0.3">
      <c r="A42" s="136"/>
      <c r="B42" s="139"/>
      <c r="C42" s="165"/>
      <c r="D42" s="166"/>
      <c r="E42" s="166"/>
      <c r="F42" s="166"/>
      <c r="G42" s="166"/>
      <c r="H42" s="166"/>
      <c r="I42" s="166"/>
      <c r="J42" s="151"/>
      <c r="K42" s="150"/>
      <c r="L42" s="136"/>
    </row>
    <row r="43" spans="1:12" ht="15.75" customHeight="1" x14ac:dyDescent="0.3">
      <c r="A43" s="136"/>
      <c r="B43" s="139"/>
      <c r="C43" s="165"/>
      <c r="D43" s="166"/>
      <c r="E43" s="166"/>
      <c r="F43" s="166"/>
      <c r="G43" s="166"/>
      <c r="H43" s="166"/>
      <c r="I43" s="166"/>
      <c r="J43" s="151"/>
      <c r="K43" s="150"/>
      <c r="L43" s="136"/>
    </row>
    <row r="44" spans="1:12" ht="26.25" x14ac:dyDescent="0.4">
      <c r="A44" s="136"/>
      <c r="B44" s="139"/>
      <c r="C44" s="514" t="str">
        <f>IF(M1="A","PEMERINTAH "&amp;'00 DATA'!D25&amp;" "&amp;'00 DATA'!F25&amp;"",IF(M1="B","KEMENAG "&amp;'00 DATA'!D25&amp;" "&amp;'00 DATA'!F25&amp;""))</f>
        <v>PEMERINTAH KAB. LAMPUNG UTARA</v>
      </c>
      <c r="D44" s="515"/>
      <c r="E44" s="515"/>
      <c r="F44" s="515"/>
      <c r="G44" s="515"/>
      <c r="H44" s="515"/>
      <c r="I44" s="515"/>
      <c r="J44" s="516"/>
      <c r="K44" s="150"/>
      <c r="L44" s="136"/>
    </row>
    <row r="45" spans="1:12" ht="26.25" x14ac:dyDescent="0.4">
      <c r="A45" s="136"/>
      <c r="B45" s="139"/>
      <c r="C45" s="517" t="str">
        <f>'00 DATA'!P4&amp;" "&amp;'00 DATA'!P5&amp;""</f>
        <v>TAHUN 2022</v>
      </c>
      <c r="D45" s="518"/>
      <c r="E45" s="518"/>
      <c r="F45" s="518"/>
      <c r="G45" s="518"/>
      <c r="H45" s="518"/>
      <c r="I45" s="518"/>
      <c r="J45" s="519"/>
      <c r="K45" s="150"/>
      <c r="L45" s="136"/>
    </row>
    <row r="46" spans="1:12" ht="15.75" customHeight="1" x14ac:dyDescent="0.3">
      <c r="A46" s="136"/>
      <c r="B46" s="139"/>
      <c r="C46" s="165"/>
      <c r="D46" s="166"/>
      <c r="E46" s="166"/>
      <c r="F46" s="166"/>
      <c r="G46" s="166"/>
      <c r="H46" s="166"/>
      <c r="I46" s="166"/>
      <c r="J46" s="151"/>
      <c r="K46" s="150"/>
      <c r="L46" s="136"/>
    </row>
    <row r="47" spans="1:12" x14ac:dyDescent="0.25">
      <c r="A47" s="136"/>
      <c r="B47" s="167"/>
      <c r="C47" s="168"/>
      <c r="D47" s="167"/>
      <c r="E47" s="167"/>
      <c r="F47" s="167"/>
      <c r="G47" s="167"/>
      <c r="H47" s="167"/>
      <c r="I47" s="167"/>
      <c r="J47" s="169"/>
      <c r="K47" s="167"/>
      <c r="L47" s="136"/>
    </row>
    <row r="48" spans="1:12" ht="16.5" thickBot="1" x14ac:dyDescent="0.3">
      <c r="A48" s="136"/>
      <c r="B48" s="167"/>
      <c r="C48" s="170"/>
      <c r="D48" s="171"/>
      <c r="E48" s="171"/>
      <c r="F48" s="171"/>
      <c r="G48" s="171"/>
      <c r="H48" s="171"/>
      <c r="I48" s="171"/>
      <c r="J48" s="172"/>
      <c r="K48" s="167"/>
      <c r="L48" s="136"/>
    </row>
    <row r="49" spans="1:12" ht="8.25" customHeight="1" thickTop="1" x14ac:dyDescent="0.25">
      <c r="A49" s="136"/>
      <c r="B49" s="173"/>
      <c r="C49" s="167"/>
      <c r="D49" s="167"/>
      <c r="E49" s="167"/>
      <c r="F49" s="167"/>
      <c r="G49" s="167"/>
      <c r="H49" s="167"/>
      <c r="I49" s="167"/>
      <c r="J49" s="167"/>
      <c r="K49" s="167"/>
      <c r="L49" s="136"/>
    </row>
    <row r="50" spans="1:12" x14ac:dyDescent="0.25">
      <c r="A50" s="136"/>
      <c r="B50" s="136"/>
      <c r="C50" s="136"/>
      <c r="D50" s="136"/>
      <c r="E50" s="136"/>
      <c r="F50" s="136"/>
      <c r="G50" s="136"/>
      <c r="H50" s="136"/>
      <c r="I50" s="136"/>
      <c r="J50" s="136"/>
      <c r="K50" s="136"/>
      <c r="L50" s="136"/>
    </row>
    <row r="51" spans="1:12" x14ac:dyDescent="0.25">
      <c r="A51" s="136"/>
      <c r="B51" s="136"/>
      <c r="C51" s="136"/>
      <c r="D51" s="136"/>
      <c r="E51" s="136"/>
      <c r="F51" s="136"/>
      <c r="G51" s="136"/>
      <c r="H51" s="136"/>
      <c r="I51" s="136"/>
      <c r="J51" s="136"/>
      <c r="K51" s="136"/>
      <c r="L51" s="136"/>
    </row>
  </sheetData>
  <sheetProtection sheet="1" objects="1" scenarios="1"/>
  <protectedRanges>
    <protectedRange sqref="M1" name="Range1"/>
  </protectedRanges>
  <mergeCells count="10">
    <mergeCell ref="C26:J26"/>
    <mergeCell ref="E36:I37"/>
    <mergeCell ref="C44:J44"/>
    <mergeCell ref="C45:J45"/>
    <mergeCell ref="C2:J2"/>
    <mergeCell ref="C16:J16"/>
    <mergeCell ref="C17:J17"/>
    <mergeCell ref="C18:J18"/>
    <mergeCell ref="C24:J24"/>
    <mergeCell ref="C25:J25"/>
  </mergeCells>
  <hyperlinks>
    <hyperlink ref="L1" location="'00 DATA'!A1" display="MENU"/>
  </hyperlinks>
  <printOptions horizontalCentered="1" verticalCentered="1"/>
  <pageMargins left="0.59055118110236227" right="0.59055118110236227" top="0.39370078740157483" bottom="0.39370078740157483" header="0.31496062992125984" footer="0.31496062992125984"/>
  <pageSetup paperSize="9" scale="93" orientation="portrait" horizontalDpi="4294967292"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R103"/>
  <sheetViews>
    <sheetView showGridLines="0" zoomScale="80" zoomScaleNormal="80" zoomScaleSheetLayoutView="70" workbookViewId="0">
      <pane xSplit="3" ySplit="7" topLeftCell="D8" activePane="bottomRight" state="frozen"/>
      <selection pane="topRight" activeCell="D1" sqref="D1"/>
      <selection pane="bottomLeft" activeCell="A8" sqref="A8"/>
      <selection pane="bottomRight" activeCell="L1" sqref="L1"/>
    </sheetView>
  </sheetViews>
  <sheetFormatPr defaultRowHeight="15" x14ac:dyDescent="0.25"/>
  <cols>
    <col min="1" max="1" width="5.85546875" customWidth="1"/>
    <col min="2" max="2" width="4.85546875" style="4" customWidth="1"/>
    <col min="3" max="3" width="26.42578125" style="4" customWidth="1"/>
    <col min="4" max="5" width="15.5703125" style="4" customWidth="1"/>
    <col min="6" max="6" width="4.85546875" style="4" customWidth="1"/>
    <col min="7" max="7" width="11.7109375" style="4" customWidth="1"/>
    <col min="8" max="8" width="8.85546875" style="4" customWidth="1"/>
    <col min="9" max="9" width="19.5703125" style="4" customWidth="1"/>
    <col min="10" max="10" width="7" style="4" customWidth="1"/>
    <col min="11" max="11" width="11.42578125" style="5" customWidth="1"/>
    <col min="12" max="12" width="6.7109375" bestFit="1" customWidth="1"/>
    <col min="13" max="13" width="5.5703125" style="78" customWidth="1"/>
    <col min="14" max="14" width="10.140625" style="78" customWidth="1"/>
    <col min="15" max="15" width="10.140625" customWidth="1"/>
    <col min="16" max="17" width="10.28515625" style="10" customWidth="1"/>
  </cols>
  <sheetData>
    <row r="1" spans="1:18" ht="22.5" customHeight="1" x14ac:dyDescent="0.35">
      <c r="A1" s="89"/>
      <c r="B1" s="90"/>
      <c r="C1" s="90"/>
      <c r="D1" s="90"/>
      <c r="E1" s="90"/>
      <c r="F1" s="90"/>
      <c r="G1" s="90"/>
      <c r="H1" s="90"/>
      <c r="I1" s="90"/>
      <c r="J1" s="90"/>
      <c r="K1" s="91"/>
      <c r="L1" s="72" t="s">
        <v>255</v>
      </c>
      <c r="M1" s="96"/>
      <c r="N1" s="96"/>
      <c r="O1" s="96"/>
      <c r="P1" s="437"/>
      <c r="Q1" s="438"/>
      <c r="R1" s="439"/>
    </row>
    <row r="2" spans="1:18" ht="17.45" x14ac:dyDescent="0.35">
      <c r="A2" s="89"/>
      <c r="B2" s="541" t="s">
        <v>0</v>
      </c>
      <c r="C2" s="541"/>
      <c r="D2" s="541"/>
      <c r="E2" s="541"/>
      <c r="F2" s="541"/>
      <c r="G2" s="541"/>
      <c r="H2" s="541"/>
      <c r="I2" s="541"/>
      <c r="J2" s="541"/>
      <c r="K2" s="541"/>
      <c r="L2" s="95"/>
      <c r="M2" s="96"/>
      <c r="N2" s="96"/>
      <c r="O2" s="96"/>
      <c r="P2" s="437"/>
      <c r="Q2" s="438"/>
      <c r="R2" s="439"/>
    </row>
    <row r="3" spans="1:18" ht="15.6" x14ac:dyDescent="0.35">
      <c r="A3" s="89"/>
      <c r="B3" s="542" t="str">
        <f>"JABATAN FUNGSIONAL "&amp;'00 DATA'!F1&amp;""</f>
        <v>JABATAN FUNGSIONAL KEPALA SEKOLAH</v>
      </c>
      <c r="C3" s="542"/>
      <c r="D3" s="542"/>
      <c r="E3" s="542"/>
      <c r="F3" s="542"/>
      <c r="G3" s="542"/>
      <c r="H3" s="542"/>
      <c r="I3" s="542"/>
      <c r="J3" s="542"/>
      <c r="K3" s="542"/>
      <c r="L3" s="95"/>
      <c r="M3" s="96"/>
      <c r="N3" s="96"/>
      <c r="O3" s="96"/>
      <c r="P3" s="437"/>
      <c r="Q3" s="438"/>
      <c r="R3" s="439"/>
    </row>
    <row r="4" spans="1:18" ht="15.6" x14ac:dyDescent="0.35">
      <c r="A4" s="89"/>
      <c r="B4" s="542" t="s">
        <v>1</v>
      </c>
      <c r="C4" s="542"/>
      <c r="D4" s="542"/>
      <c r="E4" s="542"/>
      <c r="F4" s="542"/>
      <c r="G4" s="542"/>
      <c r="H4" s="542"/>
      <c r="I4" s="542"/>
      <c r="J4" s="542"/>
      <c r="K4" s="542"/>
      <c r="L4" s="95"/>
      <c r="M4" s="96"/>
      <c r="N4" s="96"/>
      <c r="O4" s="96"/>
      <c r="P4" s="437"/>
      <c r="Q4" s="438"/>
      <c r="R4" s="439"/>
    </row>
    <row r="5" spans="1:18" ht="15.6" x14ac:dyDescent="0.35">
      <c r="A5" s="89"/>
      <c r="B5" s="63"/>
      <c r="C5" s="63"/>
      <c r="D5" s="63"/>
      <c r="E5" s="63"/>
      <c r="F5" s="63"/>
      <c r="G5" s="63"/>
      <c r="H5" s="63"/>
      <c r="I5" s="63"/>
      <c r="J5" s="63"/>
      <c r="K5" s="64"/>
      <c r="L5" s="95"/>
      <c r="M5" s="96"/>
      <c r="N5" s="96"/>
      <c r="O5" s="96"/>
      <c r="P5" s="437"/>
      <c r="Q5" s="438"/>
      <c r="R5" s="439"/>
    </row>
    <row r="6" spans="1:18" ht="24" customHeight="1" x14ac:dyDescent="0.35">
      <c r="A6" s="89"/>
      <c r="B6" s="543" t="str">
        <f>'00 DATA'!F24&amp;" "&amp;'00 DATA'!D25&amp;" "&amp;'00 DATA'!F25&amp;""</f>
        <v>DINAS PENDIDIKAN  KAB. LAMPUNG UTARA</v>
      </c>
      <c r="C6" s="543"/>
      <c r="D6" s="543"/>
      <c r="E6" s="543"/>
      <c r="F6" s="545" t="s">
        <v>54</v>
      </c>
      <c r="G6" s="545"/>
      <c r="H6" s="65" t="str">
        <f>'00 DATA'!N6&amp;" S.D "&amp;'00 DATA'!N7&amp;""</f>
        <v>01 JANUARI 2022 S.D 31 DESEMBER 2022</v>
      </c>
      <c r="I6" s="65"/>
      <c r="J6" s="65"/>
      <c r="K6" s="65"/>
      <c r="L6" s="95"/>
      <c r="M6" s="96"/>
      <c r="N6" s="96"/>
      <c r="O6" s="96"/>
      <c r="P6" s="437"/>
      <c r="Q6" s="438"/>
      <c r="R6" s="439"/>
    </row>
    <row r="7" spans="1:18" ht="15.6" x14ac:dyDescent="0.35">
      <c r="A7" s="89"/>
      <c r="B7" s="98" t="s">
        <v>2</v>
      </c>
      <c r="C7" s="557" t="s">
        <v>3</v>
      </c>
      <c r="D7" s="558"/>
      <c r="E7" s="559"/>
      <c r="F7" s="99" t="s">
        <v>2</v>
      </c>
      <c r="G7" s="544" t="s">
        <v>4</v>
      </c>
      <c r="H7" s="544"/>
      <c r="I7" s="544"/>
      <c r="J7" s="544"/>
      <c r="K7" s="544"/>
      <c r="L7" s="95"/>
      <c r="M7" s="96"/>
      <c r="N7" s="96"/>
      <c r="O7" s="96"/>
      <c r="P7" s="437"/>
      <c r="Q7" s="438"/>
      <c r="R7" s="439"/>
    </row>
    <row r="8" spans="1:18" ht="35.25" customHeight="1" x14ac:dyDescent="0.35">
      <c r="A8" s="89"/>
      <c r="B8" s="68">
        <v>1</v>
      </c>
      <c r="C8" s="68" t="s">
        <v>5</v>
      </c>
      <c r="D8" s="553" t="str">
        <f>'00 DATA'!F5&amp;""</f>
        <v>RUSLAN, S.Pd</v>
      </c>
      <c r="E8" s="554"/>
      <c r="F8" s="68">
        <v>1</v>
      </c>
      <c r="G8" s="546" t="s">
        <v>5</v>
      </c>
      <c r="H8" s="546"/>
      <c r="I8" s="547" t="str">
        <f>'00 DATA'!F12&amp;""</f>
        <v>TUTI ROSPASARI, S.Pd. M.Pd.</v>
      </c>
      <c r="J8" s="548"/>
      <c r="K8" s="549"/>
      <c r="L8" s="95"/>
      <c r="M8" s="96"/>
      <c r="N8" s="96"/>
      <c r="O8" s="96"/>
      <c r="P8" s="437"/>
      <c r="Q8" s="438"/>
      <c r="R8" s="439"/>
    </row>
    <row r="9" spans="1:18" ht="15.6" x14ac:dyDescent="0.35">
      <c r="A9" s="89"/>
      <c r="B9" s="68">
        <v>2</v>
      </c>
      <c r="C9" s="68" t="s">
        <v>6</v>
      </c>
      <c r="D9" s="555" t="str">
        <f>'00 DATA'!F6&amp;""</f>
        <v>19660625 199112 1 001</v>
      </c>
      <c r="E9" s="556"/>
      <c r="F9" s="68">
        <v>2</v>
      </c>
      <c r="G9" s="546" t="s">
        <v>6</v>
      </c>
      <c r="H9" s="546"/>
      <c r="I9" s="550" t="str">
        <f>'00 DATA'!F13&amp;""</f>
        <v>19721025 199802 2 003</v>
      </c>
      <c r="J9" s="551"/>
      <c r="K9" s="552"/>
      <c r="L9" s="95"/>
      <c r="M9" s="96"/>
      <c r="N9" s="96"/>
      <c r="O9" s="96"/>
      <c r="P9" s="437"/>
      <c r="Q9" s="438"/>
      <c r="R9" s="439"/>
    </row>
    <row r="10" spans="1:18" ht="30" customHeight="1" x14ac:dyDescent="0.35">
      <c r="A10" s="89"/>
      <c r="B10" s="68">
        <v>3</v>
      </c>
      <c r="C10" s="478" t="s">
        <v>7</v>
      </c>
      <c r="D10" s="555" t="str">
        <f>'00 DATA'!F7&amp;"/ "&amp;'00 DATA'!G7&amp;" "&amp;'00 DATA'!H7&amp;""</f>
        <v xml:space="preserve">PEMBINA TK.I/ IV.b </v>
      </c>
      <c r="E10" s="556"/>
      <c r="F10" s="68">
        <v>3</v>
      </c>
      <c r="G10" s="574" t="s">
        <v>7</v>
      </c>
      <c r="H10" s="574"/>
      <c r="I10" s="550" t="str">
        <f>'00 DATA'!F14&amp;""</f>
        <v xml:space="preserve">PEMBINA TK.I (IV/b) </v>
      </c>
      <c r="J10" s="551"/>
      <c r="K10" s="552"/>
      <c r="L10" s="95"/>
      <c r="M10" s="96"/>
      <c r="N10" s="96"/>
      <c r="O10" s="96"/>
      <c r="P10" s="437"/>
      <c r="Q10" s="438"/>
      <c r="R10" s="439"/>
    </row>
    <row r="11" spans="1:18" ht="15.6" x14ac:dyDescent="0.35">
      <c r="A11" s="89"/>
      <c r="B11" s="68">
        <v>4</v>
      </c>
      <c r="C11" s="68" t="s">
        <v>8</v>
      </c>
      <c r="D11" s="555" t="str">
        <f>'00 DATA'!F8&amp;""</f>
        <v>KEPALA SEKOLAH</v>
      </c>
      <c r="E11" s="556"/>
      <c r="F11" s="68">
        <v>4</v>
      </c>
      <c r="G11" s="546" t="s">
        <v>8</v>
      </c>
      <c r="H11" s="546"/>
      <c r="I11" s="550" t="str">
        <f>'00 DATA'!F15&amp;""</f>
        <v>SEKRETARIS DINAS</v>
      </c>
      <c r="J11" s="551"/>
      <c r="K11" s="552"/>
      <c r="L11" s="95"/>
      <c r="M11" s="96"/>
      <c r="N11" s="426" t="s">
        <v>367</v>
      </c>
      <c r="O11" s="427" t="s">
        <v>368</v>
      </c>
      <c r="P11" s="437"/>
      <c r="Q11" s="438"/>
      <c r="R11" s="439"/>
    </row>
    <row r="12" spans="1:18" ht="32.25" customHeight="1" x14ac:dyDescent="0.35">
      <c r="A12" s="89"/>
      <c r="B12" s="68">
        <v>5</v>
      </c>
      <c r="C12" s="68" t="s">
        <v>9</v>
      </c>
      <c r="D12" s="555" t="str">
        <f>'00 DATA'!F9&amp;" "&amp;'00 DATA'!D10&amp;" "&amp;'00 DATA'!F10&amp;""</f>
        <v>UPTD SDN 1 KOTABUMI TENGAH KAB. LAMPUNG UTARA</v>
      </c>
      <c r="E12" s="556"/>
      <c r="F12" s="68">
        <v>5</v>
      </c>
      <c r="G12" s="575" t="s">
        <v>9</v>
      </c>
      <c r="H12" s="576"/>
      <c r="I12" s="555" t="str">
        <f>'00 DATA'!F16&amp;" "&amp;'00 DATA'!D17&amp;" "&amp;'00 DATA'!F17&amp;""</f>
        <v>DINAS PENDIDIKAN  KAB. LAMPUNG UTARA</v>
      </c>
      <c r="J12" s="577"/>
      <c r="K12" s="556"/>
      <c r="L12" s="95"/>
      <c r="M12" s="96"/>
      <c r="N12" s="424" t="s">
        <v>384</v>
      </c>
      <c r="O12" s="425" t="s">
        <v>385</v>
      </c>
      <c r="P12" s="437"/>
      <c r="Q12" s="438"/>
      <c r="R12" s="439"/>
    </row>
    <row r="13" spans="1:18" ht="15.6" x14ac:dyDescent="0.35">
      <c r="A13" s="89"/>
      <c r="B13" s="578" t="s">
        <v>10</v>
      </c>
      <c r="C13" s="578"/>
      <c r="D13" s="578"/>
      <c r="E13" s="578"/>
      <c r="F13" s="578"/>
      <c r="G13" s="578"/>
      <c r="H13" s="578"/>
      <c r="I13" s="578"/>
      <c r="J13" s="578"/>
      <c r="K13" s="578"/>
      <c r="L13" s="95"/>
      <c r="M13" s="96"/>
      <c r="N13" s="96"/>
      <c r="O13" s="96"/>
      <c r="P13" s="437"/>
      <c r="Q13" s="438"/>
      <c r="R13" s="439"/>
    </row>
    <row r="14" spans="1:18" s="2" customFormat="1" ht="46.5" x14ac:dyDescent="0.35">
      <c r="A14" s="92"/>
      <c r="B14" s="310" t="s">
        <v>11</v>
      </c>
      <c r="C14" s="375" t="s">
        <v>12</v>
      </c>
      <c r="D14" s="569" t="s">
        <v>13</v>
      </c>
      <c r="E14" s="570"/>
      <c r="F14" s="571"/>
      <c r="G14" s="376" t="s">
        <v>14</v>
      </c>
      <c r="H14" s="569" t="s">
        <v>15</v>
      </c>
      <c r="I14" s="571"/>
      <c r="J14" s="375"/>
      <c r="K14" s="377" t="s">
        <v>16</v>
      </c>
      <c r="L14" s="95"/>
      <c r="M14" s="97"/>
      <c r="N14" s="607" t="s">
        <v>365</v>
      </c>
      <c r="O14" s="607"/>
      <c r="P14" s="437"/>
      <c r="Q14" s="440"/>
      <c r="R14" s="440"/>
    </row>
    <row r="15" spans="1:18" s="2" customFormat="1" ht="15.75" x14ac:dyDescent="0.25">
      <c r="A15" s="92"/>
      <c r="B15" s="310" t="s">
        <v>17</v>
      </c>
      <c r="C15" s="375" t="s">
        <v>18</v>
      </c>
      <c r="D15" s="569" t="s">
        <v>19</v>
      </c>
      <c r="E15" s="570"/>
      <c r="F15" s="571"/>
      <c r="G15" s="376" t="s">
        <v>20</v>
      </c>
      <c r="H15" s="572" t="s">
        <v>21</v>
      </c>
      <c r="I15" s="571"/>
      <c r="J15" s="375"/>
      <c r="K15" s="378" t="s">
        <v>22</v>
      </c>
      <c r="L15" s="95"/>
      <c r="M15" s="97"/>
      <c r="N15" s="565" t="s">
        <v>366</v>
      </c>
      <c r="O15" s="567" t="s">
        <v>10</v>
      </c>
      <c r="P15" s="437"/>
      <c r="Q15" s="440"/>
      <c r="R15" s="440"/>
    </row>
    <row r="16" spans="1:18" ht="15.75" x14ac:dyDescent="0.25">
      <c r="A16" s="89"/>
      <c r="B16" s="373" t="s">
        <v>145</v>
      </c>
      <c r="C16" s="374" t="s">
        <v>146</v>
      </c>
      <c r="D16" s="100"/>
      <c r="E16" s="100"/>
      <c r="F16" s="100"/>
      <c r="G16" s="100"/>
      <c r="H16" s="100"/>
      <c r="I16" s="100"/>
      <c r="J16" s="100"/>
      <c r="K16" s="101"/>
      <c r="L16" s="95"/>
      <c r="M16" s="96"/>
      <c r="N16" s="566"/>
      <c r="O16" s="566"/>
      <c r="P16" s="437"/>
      <c r="Q16" s="438"/>
      <c r="R16" s="439"/>
    </row>
    <row r="17" spans="1:18" ht="33.75" customHeight="1" x14ac:dyDescent="0.25">
      <c r="A17" s="89"/>
      <c r="B17" s="580">
        <v>1</v>
      </c>
      <c r="C17" s="573" t="str">
        <f>IF(N17&lt;&gt;"",VLOOKUP(N17,TUPOKSI!$B$6:$C$42,2,FALSE),"")</f>
        <v>Meningkatnya aksesibilitas dan kualitas Pendidikan Dasar Dinas Pendidikan Kab. Lampung Utara</v>
      </c>
      <c r="D17" s="560" t="str">
        <f>IF(O17&lt;&gt;"",VLOOKUP(O17,TUPOKSI!$E$6:$F$42,2,FALSE),"")</f>
        <v>Dokumen Program Kerja Sekolah dalam bidang Manajerial, Kewirausahaan, Supervisi Guru dan Tendik dalam penyelenggaraan dan atau pengelolaan Sekolah.</v>
      </c>
      <c r="E17" s="561"/>
      <c r="F17" s="561"/>
      <c r="G17" s="238" t="s">
        <v>105</v>
      </c>
      <c r="H17" s="562" t="s">
        <v>144</v>
      </c>
      <c r="I17" s="563"/>
      <c r="J17" s="240">
        <v>2</v>
      </c>
      <c r="K17" s="479" t="s">
        <v>261</v>
      </c>
      <c r="L17" s="95"/>
      <c r="M17" s="96"/>
      <c r="N17" s="399" t="s">
        <v>156</v>
      </c>
      <c r="O17" s="507" t="s">
        <v>165</v>
      </c>
      <c r="P17" s="437"/>
      <c r="Q17" s="438"/>
      <c r="R17" s="439"/>
    </row>
    <row r="18" spans="1:18" ht="49.5" customHeight="1" x14ac:dyDescent="0.25">
      <c r="A18" s="89"/>
      <c r="B18" s="581"/>
      <c r="C18" s="561"/>
      <c r="D18" s="561"/>
      <c r="E18" s="561"/>
      <c r="F18" s="561"/>
      <c r="G18" s="238" t="s">
        <v>103</v>
      </c>
      <c r="H18" s="579" t="s">
        <v>260</v>
      </c>
      <c r="I18" s="563"/>
      <c r="J18" s="239">
        <v>0.95</v>
      </c>
      <c r="K18" s="483" t="s">
        <v>433</v>
      </c>
      <c r="L18" s="95"/>
      <c r="M18" s="96"/>
      <c r="N18" s="396"/>
      <c r="O18" s="397"/>
      <c r="P18" s="437"/>
      <c r="Q18" s="441"/>
      <c r="R18" s="439"/>
    </row>
    <row r="19" spans="1:18" ht="33.75" customHeight="1" x14ac:dyDescent="0.25">
      <c r="A19" s="89"/>
      <c r="B19" s="582"/>
      <c r="C19" s="561"/>
      <c r="D19" s="561"/>
      <c r="E19" s="561"/>
      <c r="F19" s="561"/>
      <c r="G19" s="238" t="s">
        <v>104</v>
      </c>
      <c r="H19" s="564" t="s">
        <v>436</v>
      </c>
      <c r="I19" s="563"/>
      <c r="J19" s="240">
        <v>1</v>
      </c>
      <c r="K19" s="269" t="s">
        <v>234</v>
      </c>
      <c r="L19" s="95"/>
      <c r="M19" s="96"/>
      <c r="N19" s="396"/>
      <c r="O19" s="397"/>
      <c r="P19" s="437"/>
      <c r="Q19" s="441"/>
      <c r="R19" s="439"/>
    </row>
    <row r="20" spans="1:18" ht="33.75" customHeight="1" x14ac:dyDescent="0.25">
      <c r="A20" s="89"/>
      <c r="B20" s="580">
        <v>2</v>
      </c>
      <c r="C20" s="573" t="str">
        <f>IF(N20&lt;&gt;"",VLOOKUP(N20,TUPOKSI!$B$6:$C$42,2,FALSE),"")</f>
        <v>Meningkatnya aksesibilitas dan kualitas Pendidikan Dasar Dinas Pendidikan Kab. Lampung Utara</v>
      </c>
      <c r="D20" s="560" t="str">
        <f>IF(O20&lt;&gt;"",VLOOKUP(O20,TUPOKSI!$E$6:$F$42,2,FALSE),"")</f>
        <v>Laporan pelaksanaan tugas pokok kepala sekolah (Manajerial, Kewirausahaan, Supervisi Guru dan Tendik) dalam penyelenggaraan dan atau pengelolaan Sekolah.</v>
      </c>
      <c r="E20" s="561"/>
      <c r="F20" s="561"/>
      <c r="G20" s="238" t="s">
        <v>105</v>
      </c>
      <c r="H20" s="564" t="s">
        <v>440</v>
      </c>
      <c r="I20" s="563"/>
      <c r="J20" s="240">
        <v>1</v>
      </c>
      <c r="K20" s="479" t="s">
        <v>262</v>
      </c>
      <c r="L20" s="95"/>
      <c r="M20" s="96"/>
      <c r="N20" s="399" t="s">
        <v>156</v>
      </c>
      <c r="O20" s="508" t="s">
        <v>166</v>
      </c>
      <c r="P20" s="437"/>
      <c r="Q20" s="441"/>
      <c r="R20" s="439"/>
    </row>
    <row r="21" spans="1:18" ht="49.5" customHeight="1" x14ac:dyDescent="0.25">
      <c r="A21" s="89"/>
      <c r="B21" s="581"/>
      <c r="C21" s="561"/>
      <c r="D21" s="561"/>
      <c r="E21" s="561"/>
      <c r="F21" s="561"/>
      <c r="G21" s="238" t="s">
        <v>103</v>
      </c>
      <c r="H21" s="583" t="s">
        <v>405</v>
      </c>
      <c r="I21" s="563"/>
      <c r="J21" s="239">
        <v>0.95</v>
      </c>
      <c r="K21" s="483" t="s">
        <v>433</v>
      </c>
      <c r="L21" s="95"/>
      <c r="M21" s="96"/>
      <c r="N21" s="396"/>
      <c r="O21" s="397"/>
      <c r="P21" s="437"/>
      <c r="Q21" s="441"/>
      <c r="R21" s="439"/>
    </row>
    <row r="22" spans="1:18" ht="33.75" customHeight="1" x14ac:dyDescent="0.25">
      <c r="A22" s="89"/>
      <c r="B22" s="582"/>
      <c r="C22" s="561"/>
      <c r="D22" s="561"/>
      <c r="E22" s="561"/>
      <c r="F22" s="561"/>
      <c r="G22" s="238" t="s">
        <v>104</v>
      </c>
      <c r="H22" s="564" t="s">
        <v>436</v>
      </c>
      <c r="I22" s="563"/>
      <c r="J22" s="240">
        <v>12</v>
      </c>
      <c r="K22" s="269" t="s">
        <v>234</v>
      </c>
      <c r="L22" s="95"/>
      <c r="M22" s="96"/>
      <c r="N22" s="396"/>
      <c r="O22" s="397"/>
      <c r="P22" s="437"/>
      <c r="Q22" s="441"/>
      <c r="R22" s="439"/>
    </row>
    <row r="23" spans="1:18" ht="33.75" customHeight="1" x14ac:dyDescent="0.25">
      <c r="A23" s="89"/>
      <c r="B23" s="580">
        <v>3</v>
      </c>
      <c r="C23" s="573" t="str">
        <f>IF(N23&lt;&gt;"",VLOOKUP(N23,TUPOKSI!$B$6:$C$42,2,FALSE),"")</f>
        <v>Laporan Pelaksanaan kegiatan Program Peningkatan aksesibilitas dan kualitas pendidikan Dinas Pendidikan Kab. Lampung Utara</v>
      </c>
      <c r="D23" s="560" t="str">
        <f>IF(O23&lt;&gt;"",VLOOKUP(O23,TUPOKSI!$E$6:$F$42,2,FALSE),"")</f>
        <v>Laporan Evaluasi dan ketercapaian program kerja pelaksanaan tugas pokok kepala sekolah (Manajerial, Kewirausahaan, Supervisi) dalam bentuk EDS dan atau Analisis Hasil Rapor Pendidikan (PBD).</v>
      </c>
      <c r="E23" s="561"/>
      <c r="F23" s="561"/>
      <c r="G23" s="238" t="s">
        <v>105</v>
      </c>
      <c r="H23" s="564" t="s">
        <v>441</v>
      </c>
      <c r="I23" s="563"/>
      <c r="J23" s="240">
        <v>1</v>
      </c>
      <c r="K23" s="479" t="s">
        <v>262</v>
      </c>
      <c r="L23" s="95"/>
      <c r="M23" s="96"/>
      <c r="N23" s="399" t="s">
        <v>157</v>
      </c>
      <c r="O23" s="508" t="s">
        <v>167</v>
      </c>
      <c r="P23" s="437"/>
      <c r="Q23" s="441"/>
      <c r="R23" s="439"/>
    </row>
    <row r="24" spans="1:18" ht="49.5" customHeight="1" x14ac:dyDescent="0.25">
      <c r="A24" s="89"/>
      <c r="B24" s="581"/>
      <c r="C24" s="561"/>
      <c r="D24" s="561"/>
      <c r="E24" s="561"/>
      <c r="F24" s="561"/>
      <c r="G24" s="238" t="s">
        <v>103</v>
      </c>
      <c r="H24" s="583" t="s">
        <v>406</v>
      </c>
      <c r="I24" s="563"/>
      <c r="J24" s="239">
        <v>0.95</v>
      </c>
      <c r="K24" s="483" t="s">
        <v>433</v>
      </c>
      <c r="L24" s="95"/>
      <c r="M24" s="96"/>
      <c r="N24" s="396"/>
      <c r="O24" s="397"/>
      <c r="P24" s="437"/>
      <c r="Q24" s="441"/>
      <c r="R24" s="439"/>
    </row>
    <row r="25" spans="1:18" ht="33.75" customHeight="1" x14ac:dyDescent="0.25">
      <c r="A25" s="89"/>
      <c r="B25" s="582"/>
      <c r="C25" s="561"/>
      <c r="D25" s="561"/>
      <c r="E25" s="561"/>
      <c r="F25" s="561"/>
      <c r="G25" s="238" t="s">
        <v>104</v>
      </c>
      <c r="H25" s="564" t="s">
        <v>436</v>
      </c>
      <c r="I25" s="563"/>
      <c r="J25" s="240">
        <v>6</v>
      </c>
      <c r="K25" s="269" t="s">
        <v>234</v>
      </c>
      <c r="L25" s="95"/>
      <c r="M25" s="96"/>
      <c r="N25" s="396"/>
      <c r="O25" s="397"/>
      <c r="P25" s="437"/>
      <c r="Q25" s="441"/>
      <c r="R25" s="439"/>
    </row>
    <row r="26" spans="1:18" ht="33.75" customHeight="1" x14ac:dyDescent="0.25">
      <c r="A26" s="89"/>
      <c r="B26" s="580">
        <v>4</v>
      </c>
      <c r="C26" s="573" t="str">
        <f>IF(N26&lt;&gt;"",VLOOKUP(N26,TUPOKSI!$B$6:$C$42,2,FALSE),"")</f>
        <v>Laporan Evaluasi Hasil Program Peningkatan aksesibilitas dan kualitas sesuai peraturan yang berlaku secara efektif dan efisien.</v>
      </c>
      <c r="D26" s="560" t="str">
        <f>IF(O26&lt;&gt;"",VLOOKUP(O26,TUPOKSI!$E$6:$F$42,2,FALSE),"")</f>
        <v>Laporan Pengembangan Keprofesian Berkelanjutan Kepala Sekolah dalam bentuk Diklat fungsional kepala sekolah dan atau Karya Tulis Ilmiah Kepala Sekolah.</v>
      </c>
      <c r="E26" s="561"/>
      <c r="F26" s="561"/>
      <c r="G26" s="238" t="s">
        <v>105</v>
      </c>
      <c r="H26" s="564" t="s">
        <v>442</v>
      </c>
      <c r="I26" s="563"/>
      <c r="J26" s="240">
        <v>1</v>
      </c>
      <c r="K26" s="479" t="s">
        <v>262</v>
      </c>
      <c r="L26" s="95"/>
      <c r="M26" s="96"/>
      <c r="N26" s="399" t="s">
        <v>158</v>
      </c>
      <c r="O26" s="508" t="s">
        <v>376</v>
      </c>
      <c r="P26" s="437"/>
      <c r="Q26" s="441"/>
      <c r="R26" s="439"/>
    </row>
    <row r="27" spans="1:18" ht="49.5" customHeight="1" x14ac:dyDescent="0.25">
      <c r="A27" s="89"/>
      <c r="B27" s="581"/>
      <c r="C27" s="561"/>
      <c r="D27" s="561"/>
      <c r="E27" s="561"/>
      <c r="F27" s="561"/>
      <c r="G27" s="238" t="s">
        <v>103</v>
      </c>
      <c r="H27" s="562" t="s">
        <v>432</v>
      </c>
      <c r="I27" s="563"/>
      <c r="J27" s="239">
        <v>0.95</v>
      </c>
      <c r="K27" s="483" t="s">
        <v>433</v>
      </c>
      <c r="L27" s="95"/>
      <c r="M27" s="96"/>
      <c r="N27" s="396"/>
      <c r="O27" s="397"/>
      <c r="P27" s="437"/>
      <c r="Q27" s="441"/>
      <c r="R27" s="439"/>
    </row>
    <row r="28" spans="1:18" ht="33.75" customHeight="1" x14ac:dyDescent="0.25">
      <c r="A28" s="89"/>
      <c r="B28" s="582"/>
      <c r="C28" s="561"/>
      <c r="D28" s="561"/>
      <c r="E28" s="561"/>
      <c r="F28" s="561"/>
      <c r="G28" s="238" t="s">
        <v>104</v>
      </c>
      <c r="H28" s="564" t="s">
        <v>436</v>
      </c>
      <c r="I28" s="563"/>
      <c r="J28" s="240">
        <v>2</v>
      </c>
      <c r="K28" s="269" t="s">
        <v>234</v>
      </c>
      <c r="L28" s="95"/>
      <c r="M28" s="96"/>
      <c r="N28" s="396"/>
      <c r="O28" s="397"/>
      <c r="P28" s="437"/>
      <c r="Q28" s="441"/>
      <c r="R28" s="439"/>
    </row>
    <row r="29" spans="1:18" ht="33.75" customHeight="1" x14ac:dyDescent="0.25">
      <c r="A29" s="89"/>
      <c r="B29" s="580">
        <v>5</v>
      </c>
      <c r="C29" s="573" t="str">
        <f>IF(N29&lt;&gt;"",VLOOKUP(N29,TUPOKSI!$B$6:$C$42,2,FALSE),"")</f>
        <v>Dokumen kegiatan peningkatan kompetensi dan pengembangan karir ASN di lingkungan Dinas Pendidikan Kab. Lampung Utara</v>
      </c>
      <c r="D29" s="560" t="str">
        <f>IF(O29&lt;&gt;"",VLOOKUP(O29,TUPOKSI!$E$6:$F$42,2,FALSE),"")</f>
        <v>Dokumen kegiatan tugas tambahan sebagai Pengurus atau MKKS/KKKS Kab. Lampung Utara</v>
      </c>
      <c r="E29" s="561"/>
      <c r="F29" s="561"/>
      <c r="G29" s="238" t="s">
        <v>105</v>
      </c>
      <c r="H29" s="564" t="s">
        <v>443</v>
      </c>
      <c r="I29" s="563"/>
      <c r="J29" s="240">
        <v>1</v>
      </c>
      <c r="K29" s="480" t="s">
        <v>262</v>
      </c>
      <c r="L29" s="95"/>
      <c r="M29" s="96"/>
      <c r="N29" s="399" t="s">
        <v>336</v>
      </c>
      <c r="O29" s="508" t="s">
        <v>377</v>
      </c>
      <c r="P29" s="437"/>
      <c r="Q29" s="441"/>
      <c r="R29" s="439"/>
    </row>
    <row r="30" spans="1:18" ht="49.5" customHeight="1" x14ac:dyDescent="0.25">
      <c r="A30" s="89"/>
      <c r="B30" s="581"/>
      <c r="C30" s="561"/>
      <c r="D30" s="561"/>
      <c r="E30" s="561"/>
      <c r="F30" s="561"/>
      <c r="G30" s="238" t="s">
        <v>103</v>
      </c>
      <c r="H30" s="564" t="s">
        <v>446</v>
      </c>
      <c r="I30" s="563"/>
      <c r="J30" s="239">
        <v>0.95</v>
      </c>
      <c r="K30" s="483" t="s">
        <v>433</v>
      </c>
      <c r="L30" s="95"/>
      <c r="M30" s="96"/>
      <c r="N30" s="396"/>
      <c r="O30" s="397"/>
      <c r="P30" s="437"/>
      <c r="Q30" s="441"/>
      <c r="R30" s="439"/>
    </row>
    <row r="31" spans="1:18" ht="33.75" customHeight="1" x14ac:dyDescent="0.25">
      <c r="A31" s="89"/>
      <c r="B31" s="582"/>
      <c r="C31" s="561"/>
      <c r="D31" s="561"/>
      <c r="E31" s="561"/>
      <c r="F31" s="561"/>
      <c r="G31" s="238" t="s">
        <v>104</v>
      </c>
      <c r="H31" s="564" t="s">
        <v>436</v>
      </c>
      <c r="I31" s="563"/>
      <c r="J31" s="240">
        <v>3</v>
      </c>
      <c r="K31" s="269" t="s">
        <v>234</v>
      </c>
      <c r="L31" s="95"/>
      <c r="M31" s="96"/>
      <c r="N31" s="396"/>
      <c r="O31" s="397"/>
      <c r="P31" s="437"/>
      <c r="Q31" s="441"/>
      <c r="R31" s="439"/>
    </row>
    <row r="32" spans="1:18" ht="29.25" customHeight="1" x14ac:dyDescent="0.25">
      <c r="A32" s="89"/>
      <c r="B32" s="373" t="s">
        <v>222</v>
      </c>
      <c r="C32" s="374" t="s">
        <v>223</v>
      </c>
      <c r="D32" s="242"/>
      <c r="E32" s="242"/>
      <c r="F32" s="242"/>
      <c r="G32" s="242"/>
      <c r="H32" s="242"/>
      <c r="I32" s="242"/>
      <c r="J32" s="242"/>
      <c r="K32" s="481"/>
      <c r="L32" s="95"/>
      <c r="M32" s="96"/>
      <c r="N32" s="396"/>
      <c r="O32" s="397"/>
      <c r="P32" s="437"/>
      <c r="Q32" s="441"/>
      <c r="R32" s="439"/>
    </row>
    <row r="33" spans="1:18" ht="34.5" customHeight="1" x14ac:dyDescent="0.25">
      <c r="A33" s="89"/>
      <c r="B33" s="584">
        <v>1</v>
      </c>
      <c r="C33" s="573" t="str">
        <f>IF(N33&lt;&gt;"",VLOOKUP(N33,TUPOKSI!$B$6:$C$42,2,FALSE),"")</f>
        <v>Dokumen tugas kedinasan lain yang diberikan pimpinan baik lisan maupun tertulis dilingkungan Dinas Pendidikan Kab. Lampung Utara</v>
      </c>
      <c r="D33" s="560" t="str">
        <f>IF(O33&lt;&gt;"",VLOOKUP(O33,TUPOKSI!$E$6:$F$42,2,FALSE),"")</f>
        <v>Dokumen kegiatan tugas tambahan sebagai Anggota / Pengurus MKKS/PGRI Kab. Barito Timur.</v>
      </c>
      <c r="E33" s="561"/>
      <c r="F33" s="561"/>
      <c r="G33" s="238" t="s">
        <v>105</v>
      </c>
      <c r="H33" s="564" t="s">
        <v>444</v>
      </c>
      <c r="I33" s="563"/>
      <c r="J33" s="240">
        <v>1</v>
      </c>
      <c r="K33" s="482" t="s">
        <v>261</v>
      </c>
      <c r="L33" s="95"/>
      <c r="M33" s="96"/>
      <c r="N33" s="399" t="s">
        <v>335</v>
      </c>
      <c r="O33" s="508" t="s">
        <v>378</v>
      </c>
      <c r="P33" s="437"/>
      <c r="Q33" s="441"/>
      <c r="R33" s="439"/>
    </row>
    <row r="34" spans="1:18" ht="49.5" customHeight="1" x14ac:dyDescent="0.25">
      <c r="A34" s="89"/>
      <c r="B34" s="584"/>
      <c r="C34" s="561"/>
      <c r="D34" s="561"/>
      <c r="E34" s="561"/>
      <c r="F34" s="561"/>
      <c r="G34" s="238" t="s">
        <v>103</v>
      </c>
      <c r="H34" s="564" t="s">
        <v>435</v>
      </c>
      <c r="I34" s="563"/>
      <c r="J34" s="239">
        <v>0.95</v>
      </c>
      <c r="K34" s="483" t="s">
        <v>433</v>
      </c>
      <c r="L34" s="95"/>
      <c r="M34" s="96"/>
      <c r="N34" s="396"/>
      <c r="O34" s="397"/>
      <c r="P34" s="437"/>
      <c r="Q34" s="441"/>
      <c r="R34" s="439"/>
    </row>
    <row r="35" spans="1:18" ht="34.5" customHeight="1" x14ac:dyDescent="0.25">
      <c r="A35" s="89"/>
      <c r="B35" s="584"/>
      <c r="C35" s="561"/>
      <c r="D35" s="561"/>
      <c r="E35" s="561"/>
      <c r="F35" s="561"/>
      <c r="G35" s="238" t="s">
        <v>104</v>
      </c>
      <c r="H35" s="564" t="s">
        <v>436</v>
      </c>
      <c r="I35" s="563"/>
      <c r="J35" s="240">
        <v>12</v>
      </c>
      <c r="K35" s="269" t="s">
        <v>234</v>
      </c>
      <c r="L35" s="95"/>
      <c r="M35" s="96"/>
      <c r="N35" s="396"/>
      <c r="O35" s="397"/>
      <c r="P35" s="437"/>
      <c r="Q35" s="441"/>
      <c r="R35" s="439"/>
    </row>
    <row r="36" spans="1:18" ht="34.5" customHeight="1" x14ac:dyDescent="0.25">
      <c r="A36" s="89"/>
      <c r="B36" s="584">
        <v>2</v>
      </c>
      <c r="C36" s="573" t="str">
        <f>IF(N36&lt;&gt;"",VLOOKUP(N36,TUPOKSI!$B$6:$C$42,2,FALSE),"")</f>
        <v>Dokumen kegiatan peningkatan kompetensi dan pengembangan karir ASN di lingkungan Dinas Pendidikan Kab. Lampung Utara</v>
      </c>
      <c r="D36" s="560" t="str">
        <f>IF(O36&lt;&gt;"",VLOOKUP(O36,TUPOKSI!$E$6:$F$42,2,FALSE),"")</f>
        <v>Dokumen kegiatan mengikuti Seminar dan atau Webinar Pendidikan di Lingkungan daerah dan Pusat.</v>
      </c>
      <c r="E36" s="561"/>
      <c r="F36" s="561"/>
      <c r="G36" s="238" t="s">
        <v>105</v>
      </c>
      <c r="H36" s="564" t="s">
        <v>445</v>
      </c>
      <c r="I36" s="563"/>
      <c r="J36" s="240">
        <v>1</v>
      </c>
      <c r="K36" s="482" t="s">
        <v>407</v>
      </c>
      <c r="L36" s="95"/>
      <c r="M36" s="96"/>
      <c r="N36" s="399" t="s">
        <v>336</v>
      </c>
      <c r="O36" s="508" t="s">
        <v>379</v>
      </c>
      <c r="P36" s="437"/>
      <c r="Q36" s="441"/>
      <c r="R36" s="439"/>
    </row>
    <row r="37" spans="1:18" ht="49.5" customHeight="1" x14ac:dyDescent="0.25">
      <c r="A37" s="89"/>
      <c r="B37" s="584"/>
      <c r="C37" s="561"/>
      <c r="D37" s="561"/>
      <c r="E37" s="561"/>
      <c r="F37" s="561"/>
      <c r="G37" s="238" t="s">
        <v>103</v>
      </c>
      <c r="H37" s="568" t="s">
        <v>426</v>
      </c>
      <c r="I37" s="563"/>
      <c r="J37" s="239">
        <v>0.95</v>
      </c>
      <c r="K37" s="483" t="s">
        <v>433</v>
      </c>
      <c r="L37" s="95"/>
      <c r="M37" s="96"/>
      <c r="N37" s="396"/>
      <c r="O37" s="398"/>
      <c r="P37" s="437"/>
      <c r="Q37" s="441"/>
      <c r="R37" s="439"/>
    </row>
    <row r="38" spans="1:18" ht="34.5" customHeight="1" x14ac:dyDescent="0.25">
      <c r="A38" s="89"/>
      <c r="B38" s="584"/>
      <c r="C38" s="561"/>
      <c r="D38" s="561"/>
      <c r="E38" s="561"/>
      <c r="F38" s="561"/>
      <c r="G38" s="238" t="s">
        <v>104</v>
      </c>
      <c r="H38" s="564" t="s">
        <v>436</v>
      </c>
      <c r="I38" s="563"/>
      <c r="J38" s="240">
        <v>6</v>
      </c>
      <c r="K38" s="269" t="s">
        <v>234</v>
      </c>
      <c r="L38" s="95"/>
      <c r="M38" s="96"/>
      <c r="N38" s="400" t="s">
        <v>271</v>
      </c>
      <c r="O38" s="401"/>
      <c r="P38" s="441"/>
      <c r="Q38" s="441"/>
      <c r="R38" s="439"/>
    </row>
    <row r="39" spans="1:18" ht="15.75" x14ac:dyDescent="0.25">
      <c r="A39" s="89"/>
      <c r="B39" s="241"/>
      <c r="C39" s="243"/>
      <c r="D39" s="243"/>
      <c r="E39" s="243"/>
      <c r="F39" s="379" t="s">
        <v>25</v>
      </c>
      <c r="G39" s="243"/>
      <c r="H39" s="243"/>
      <c r="I39" s="243"/>
      <c r="J39" s="243"/>
      <c r="K39" s="244"/>
      <c r="L39" s="95"/>
      <c r="M39" s="96"/>
      <c r="N39" s="402" t="s">
        <v>219</v>
      </c>
      <c r="O39" s="403" t="s">
        <v>220</v>
      </c>
      <c r="P39" s="438"/>
      <c r="Q39" s="438"/>
      <c r="R39" s="439"/>
    </row>
    <row r="40" spans="1:18" s="3" customFormat="1" ht="15.75" x14ac:dyDescent="0.25">
      <c r="A40" s="93"/>
      <c r="B40" s="586">
        <v>1</v>
      </c>
      <c r="C40" s="245" t="str">
        <f>IF(N40&lt;&gt;"",VLOOKUP(N40,BERAHLAK!$B$5:$C$53,2,FALSE),"")</f>
        <v>Berorientasi Pelayanan</v>
      </c>
      <c r="D40" s="246"/>
      <c r="E40" s="246"/>
      <c r="F40" s="246"/>
      <c r="G40" s="246"/>
      <c r="H40" s="246"/>
      <c r="I40" s="246"/>
      <c r="J40" s="246"/>
      <c r="K40" s="247"/>
      <c r="L40" s="95"/>
      <c r="M40" s="96"/>
      <c r="N40" s="404" t="s">
        <v>76</v>
      </c>
      <c r="O40" s="405"/>
      <c r="P40" s="442"/>
      <c r="Q40" s="442"/>
      <c r="R40" s="443"/>
    </row>
    <row r="41" spans="1:18" s="3" customFormat="1" ht="15.75" x14ac:dyDescent="0.25">
      <c r="A41" s="93"/>
      <c r="B41" s="587"/>
      <c r="C41" s="248" t="str">
        <f>IF(N41&lt;&gt;"",VLOOKUP(N41,BERAHLAK!$B$5:$C$53,2,FALSE),"")</f>
        <v>- Memahami dan memenuhi kebutuhan masyarakat</v>
      </c>
      <c r="D41" s="249"/>
      <c r="E41" s="250"/>
      <c r="F41" s="251" t="s">
        <v>27</v>
      </c>
      <c r="G41" s="252"/>
      <c r="H41" s="252"/>
      <c r="I41" s="252"/>
      <c r="J41" s="252"/>
      <c r="K41" s="253"/>
      <c r="L41" s="95"/>
      <c r="M41" s="96"/>
      <c r="N41" s="404" t="s">
        <v>156</v>
      </c>
      <c r="O41" s="405"/>
      <c r="P41" s="442"/>
      <c r="Q41" s="442"/>
      <c r="R41" s="443"/>
    </row>
    <row r="42" spans="1:18" s="3" customFormat="1" ht="32.25" customHeight="1" x14ac:dyDescent="0.25">
      <c r="A42" s="93"/>
      <c r="B42" s="587"/>
      <c r="C42" s="264" t="str">
        <f>IF(N42&lt;&gt;"",VLOOKUP(N42,BERAHLAK!$B$5:$C$53,2,FALSE),"")</f>
        <v>- Ramah, cekatan, solutif, dan dapat diandalkan</v>
      </c>
      <c r="D42" s="254"/>
      <c r="E42" s="255"/>
      <c r="F42" s="590" t="str">
        <f>IF(O42&lt;&gt;"",VLOOKUP(O42,BERAHLAK!$E$5:$F$53,2,FALSE),"")</f>
        <v>- Maksimal dalam pelayanan, terbuka terhadap masukan atau kritikan.</v>
      </c>
      <c r="G42" s="591"/>
      <c r="H42" s="591"/>
      <c r="I42" s="591"/>
      <c r="J42" s="591"/>
      <c r="K42" s="592"/>
      <c r="L42" s="95"/>
      <c r="M42" s="96"/>
      <c r="N42" s="404" t="s">
        <v>157</v>
      </c>
      <c r="O42" s="406" t="s">
        <v>156</v>
      </c>
      <c r="P42" s="442"/>
      <c r="Q42" s="442"/>
      <c r="R42" s="443"/>
    </row>
    <row r="43" spans="1:18" s="3" customFormat="1" ht="19.5" customHeight="1" x14ac:dyDescent="0.25">
      <c r="A43" s="93"/>
      <c r="B43" s="588"/>
      <c r="C43" s="257" t="str">
        <f>IF(N43&lt;&gt;"",VLOOKUP(N43,BERAHLAK!$B$5:$C$53,2,FALSE),"")</f>
        <v>- Melakukan perbaikan tiada henti</v>
      </c>
      <c r="D43" s="258"/>
      <c r="E43" s="259"/>
      <c r="F43" s="593" t="str">
        <f>IF(O43&lt;&gt;"",VLOOKUP(O43,BERAHLAK!$E$5:$F$53,2,FALSE),"")</f>
        <v>- Selalu belajar dari kesalahan untuk perbaikan kinerja selanjutnya.</v>
      </c>
      <c r="G43" s="594"/>
      <c r="H43" s="594"/>
      <c r="I43" s="594"/>
      <c r="J43" s="594"/>
      <c r="K43" s="595"/>
      <c r="L43" s="95"/>
      <c r="M43" s="96"/>
      <c r="N43" s="404" t="s">
        <v>158</v>
      </c>
      <c r="O43" s="406" t="s">
        <v>157</v>
      </c>
      <c r="P43" s="442"/>
      <c r="Q43" s="442"/>
      <c r="R43" s="443"/>
    </row>
    <row r="44" spans="1:18" s="3" customFormat="1" ht="15.75" x14ac:dyDescent="0.25">
      <c r="A44" s="93"/>
      <c r="B44" s="586">
        <v>2</v>
      </c>
      <c r="C44" s="263" t="str">
        <f>IF(N44&lt;&gt;"",VLOOKUP(N44,BERAHLAK!$B$5:$C$53,2,FALSE),"")</f>
        <v>Akuntabel</v>
      </c>
      <c r="D44" s="252"/>
      <c r="E44" s="252"/>
      <c r="F44" s="252"/>
      <c r="G44" s="252"/>
      <c r="H44" s="252"/>
      <c r="I44" s="252"/>
      <c r="J44" s="252"/>
      <c r="K44" s="253"/>
      <c r="L44" s="95"/>
      <c r="M44" s="96"/>
      <c r="N44" s="404" t="s">
        <v>78</v>
      </c>
      <c r="O44" s="405"/>
      <c r="P44" s="442"/>
      <c r="Q44" s="442"/>
      <c r="R44" s="443"/>
    </row>
    <row r="45" spans="1:18" s="3" customFormat="1" ht="30" customHeight="1" x14ac:dyDescent="0.25">
      <c r="A45" s="93"/>
      <c r="B45" s="587"/>
      <c r="C45" s="600" t="str">
        <f>IF(N45&lt;&gt;"",VLOOKUP(N45,BERAHLAK!$B$5:$C$53,2,FALSE),"")</f>
        <v>- Melaksanakan tugas dengan jujur, bertanggungjawab, cermat, disiplin dan berintegritas tinggi</v>
      </c>
      <c r="D45" s="601"/>
      <c r="E45" s="602"/>
      <c r="F45" s="251" t="s">
        <v>27</v>
      </c>
      <c r="G45" s="252"/>
      <c r="H45" s="252"/>
      <c r="I45" s="252"/>
      <c r="J45" s="252"/>
      <c r="K45" s="253"/>
      <c r="L45" s="95"/>
      <c r="M45" s="96"/>
      <c r="N45" s="404" t="s">
        <v>159</v>
      </c>
      <c r="O45" s="405"/>
      <c r="P45" s="442"/>
      <c r="Q45" s="442"/>
      <c r="R45" s="443"/>
    </row>
    <row r="46" spans="1:18" s="3" customFormat="1" ht="31.5" customHeight="1" x14ac:dyDescent="0.25">
      <c r="A46" s="93"/>
      <c r="B46" s="587"/>
      <c r="C46" s="608" t="str">
        <f>IF(N46&lt;&gt;"",VLOOKUP(N46,BERAHLAK!$B$5:$C$53,2,FALSE),"")</f>
        <v>- Menggunakan kekayaan dan barang milik negara secara bertanggungjawab, efektif, dan efisien</v>
      </c>
      <c r="D46" s="536"/>
      <c r="E46" s="537"/>
      <c r="F46" s="590" t="str">
        <f>IF(O46&lt;&gt;"",VLOOKUP(O46,BERAHLAK!$E$5:$F$53,2,FALSE),"")</f>
        <v>- Berani berterus terang jika merasa ada kesalahan dan mengakui kesalahan yang telah dibuat.</v>
      </c>
      <c r="G46" s="591"/>
      <c r="H46" s="591"/>
      <c r="I46" s="591"/>
      <c r="J46" s="591"/>
      <c r="K46" s="592"/>
      <c r="L46" s="95"/>
      <c r="M46" s="96"/>
      <c r="N46" s="404" t="s">
        <v>160</v>
      </c>
      <c r="O46" s="406" t="s">
        <v>159</v>
      </c>
      <c r="P46" s="442"/>
      <c r="Q46" s="442"/>
      <c r="R46" s="443"/>
    </row>
    <row r="47" spans="1:18" s="3" customFormat="1" ht="21.75" customHeight="1" x14ac:dyDescent="0.25">
      <c r="A47" s="93"/>
      <c r="B47" s="588"/>
      <c r="C47" s="257" t="str">
        <f>IF(N47&lt;&gt;"",VLOOKUP(N47,BERAHLAK!$B$5:$C$53,2,FALSE),"")</f>
        <v>- Tidak menyalahgunakan kewenangan jabatan</v>
      </c>
      <c r="D47" s="258"/>
      <c r="E47" s="259"/>
      <c r="F47" s="260" t="str">
        <f>IF(O47&lt;&gt;"",VLOOKUP(O47,BERAHLAK!$E$5:$F$53,2,FALSE),"")</f>
        <v/>
      </c>
      <c r="G47" s="261"/>
      <c r="H47" s="261"/>
      <c r="I47" s="261"/>
      <c r="J47" s="261"/>
      <c r="K47" s="262"/>
      <c r="L47" s="95"/>
      <c r="M47" s="96"/>
      <c r="N47" s="404" t="s">
        <v>161</v>
      </c>
      <c r="O47" s="406"/>
      <c r="P47" s="442"/>
      <c r="Q47" s="442"/>
      <c r="R47" s="443"/>
    </row>
    <row r="48" spans="1:18" s="3" customFormat="1" ht="15.75" x14ac:dyDescent="0.25">
      <c r="A48" s="93"/>
      <c r="B48" s="586">
        <v>3</v>
      </c>
      <c r="C48" s="263" t="str">
        <f>IF(N48&lt;&gt;"",VLOOKUP(N48,BERAHLAK!$B$5:$C$53,2,FALSE),"")</f>
        <v>Kompeten</v>
      </c>
      <c r="D48" s="252"/>
      <c r="E48" s="252"/>
      <c r="F48" s="252"/>
      <c r="G48" s="252"/>
      <c r="H48" s="252"/>
      <c r="I48" s="252"/>
      <c r="J48" s="252"/>
      <c r="K48" s="253"/>
      <c r="L48" s="95"/>
      <c r="M48" s="96"/>
      <c r="N48" s="404" t="s">
        <v>79</v>
      </c>
      <c r="O48" s="405"/>
      <c r="P48" s="442"/>
      <c r="Q48" s="442"/>
      <c r="R48" s="443"/>
    </row>
    <row r="49" spans="1:18" s="3" customFormat="1" ht="20.25" customHeight="1" x14ac:dyDescent="0.25">
      <c r="A49" s="93"/>
      <c r="B49" s="587"/>
      <c r="C49" s="600" t="str">
        <f>IF(N49&lt;&gt;"",VLOOKUP(N49,BERAHLAK!$B$5:$C$53,2,FALSE),"")</f>
        <v>- Meningkatkan kompetensi diri untuk menjawab tantangan yang selalu berubah</v>
      </c>
      <c r="D49" s="601"/>
      <c r="E49" s="602"/>
      <c r="F49" s="251" t="s">
        <v>27</v>
      </c>
      <c r="G49" s="252"/>
      <c r="H49" s="252"/>
      <c r="I49" s="252"/>
      <c r="J49" s="252"/>
      <c r="K49" s="253"/>
      <c r="L49" s="95"/>
      <c r="M49" s="96"/>
      <c r="N49" s="404" t="s">
        <v>162</v>
      </c>
      <c r="O49" s="405"/>
      <c r="P49" s="442"/>
      <c r="Q49" s="442"/>
      <c r="R49" s="443"/>
    </row>
    <row r="50" spans="1:18" s="3" customFormat="1" ht="33" customHeight="1" x14ac:dyDescent="0.25">
      <c r="A50" s="93"/>
      <c r="B50" s="587"/>
      <c r="C50" s="264" t="str">
        <f>IF(N50&lt;&gt;"",VLOOKUP(N50,BERAHLAK!$B$5:$C$53,2,FALSE),"")</f>
        <v>- Membantu orang lain belajar</v>
      </c>
      <c r="D50" s="254"/>
      <c r="E50" s="255"/>
      <c r="F50" s="590" t="str">
        <f>IF(O50&lt;&gt;"",VLOOKUP(O50,BERAHLAK!$E$5:$F$53,2,FALSE),"")</f>
        <v>- Menyelesaikan setiap pekerjaan sesuai dengan target dan standar mutu yang ditetapkan.</v>
      </c>
      <c r="G50" s="591"/>
      <c r="H50" s="591"/>
      <c r="I50" s="591"/>
      <c r="J50" s="591"/>
      <c r="K50" s="592"/>
      <c r="L50" s="95"/>
      <c r="M50" s="96"/>
      <c r="N50" s="404" t="s">
        <v>163</v>
      </c>
      <c r="O50" s="406" t="s">
        <v>162</v>
      </c>
      <c r="P50" s="442"/>
      <c r="Q50" s="442"/>
      <c r="R50" s="443"/>
    </row>
    <row r="51" spans="1:18" s="15" customFormat="1" ht="32.25" customHeight="1" x14ac:dyDescent="0.25">
      <c r="A51" s="94"/>
      <c r="B51" s="588"/>
      <c r="C51" s="257" t="str">
        <f>IF(N51&lt;&gt;"",VLOOKUP(N51,BERAHLAK!$B$5:$C$53,2,FALSE),"")</f>
        <v>- Melaksanakan tugas dengan kualitas terbaik</v>
      </c>
      <c r="D51" s="258"/>
      <c r="E51" s="259"/>
      <c r="F51" s="593" t="str">
        <f>IF(O51&lt;&gt;"",VLOOKUP(O51,BERAHLAK!$E$5:$F$53,2,FALSE),"")</f>
        <v>- Aktif dalam membagikan informasi kepada teman sejawat atau pihak lainnya yang sifatnya memberikan pengetahuan.</v>
      </c>
      <c r="G51" s="594"/>
      <c r="H51" s="594"/>
      <c r="I51" s="594"/>
      <c r="J51" s="594"/>
      <c r="K51" s="595"/>
      <c r="L51" s="95"/>
      <c r="M51" s="96"/>
      <c r="N51" s="404" t="s">
        <v>164</v>
      </c>
      <c r="O51" s="406" t="s">
        <v>163</v>
      </c>
      <c r="P51" s="444"/>
      <c r="Q51" s="444"/>
      <c r="R51" s="445"/>
    </row>
    <row r="52" spans="1:18" s="15" customFormat="1" ht="15.75" x14ac:dyDescent="0.25">
      <c r="A52" s="94"/>
      <c r="B52" s="586">
        <v>4</v>
      </c>
      <c r="C52" s="263" t="str">
        <f>IF(N52&lt;&gt;"",VLOOKUP(N52,BERAHLAK!$B$5:$C$53,2,FALSE),"")</f>
        <v xml:space="preserve">Harmonis </v>
      </c>
      <c r="D52" s="252"/>
      <c r="E52" s="252"/>
      <c r="F52" s="252"/>
      <c r="G52" s="252"/>
      <c r="H52" s="252"/>
      <c r="I52" s="252"/>
      <c r="J52" s="252"/>
      <c r="K52" s="253"/>
      <c r="L52" s="95"/>
      <c r="M52" s="96"/>
      <c r="N52" s="404" t="s">
        <v>81</v>
      </c>
      <c r="O52" s="405"/>
      <c r="P52" s="444"/>
      <c r="Q52" s="444"/>
      <c r="R52" s="445"/>
    </row>
    <row r="53" spans="1:18" s="15" customFormat="1" ht="15.75" x14ac:dyDescent="0.25">
      <c r="A53" s="94"/>
      <c r="B53" s="587"/>
      <c r="C53" s="248" t="str">
        <f>IF(N53&lt;&gt;"",VLOOKUP(N53,BERAHLAK!$B$5:$C$53,2,FALSE),"")</f>
        <v>- Menghargai setiap orang apapun latar belakangnya</v>
      </c>
      <c r="D53" s="249"/>
      <c r="E53" s="250"/>
      <c r="F53" s="251" t="s">
        <v>27</v>
      </c>
      <c r="G53" s="252"/>
      <c r="H53" s="252"/>
      <c r="I53" s="252"/>
      <c r="J53" s="252"/>
      <c r="K53" s="253"/>
      <c r="L53" s="95"/>
      <c r="M53" s="96"/>
      <c r="N53" s="404" t="s">
        <v>165</v>
      </c>
      <c r="O53" s="405"/>
      <c r="P53" s="444"/>
      <c r="Q53" s="444"/>
      <c r="R53" s="445"/>
    </row>
    <row r="54" spans="1:18" s="15" customFormat="1" ht="37.5" customHeight="1" x14ac:dyDescent="0.25">
      <c r="A54" s="94"/>
      <c r="B54" s="587"/>
      <c r="C54" s="264" t="str">
        <f>IF(N54&lt;&gt;"",VLOOKUP(N54,BERAHLAK!$B$5:$C$53,2,FALSE),"")</f>
        <v>- Suka menolong orang lain</v>
      </c>
      <c r="D54" s="265"/>
      <c r="E54" s="266"/>
      <c r="F54" s="609" t="str">
        <f>IF(O54&lt;&gt;"",VLOOKUP(O54,BERAHLAK!$E$5:$F$53,2,FALSE),"")</f>
        <v>- Membangun komunikasi yang lebih terbuka dan menjaga hubungan baik dengan stakeholder</v>
      </c>
      <c r="G54" s="610"/>
      <c r="H54" s="610"/>
      <c r="I54" s="610"/>
      <c r="J54" s="610"/>
      <c r="K54" s="611"/>
      <c r="L54" s="95"/>
      <c r="M54" s="96"/>
      <c r="N54" s="404" t="s">
        <v>166</v>
      </c>
      <c r="O54" s="406" t="s">
        <v>165</v>
      </c>
      <c r="P54" s="444"/>
      <c r="Q54" s="444"/>
      <c r="R54" s="445"/>
    </row>
    <row r="55" spans="1:18" s="15" customFormat="1" ht="46.5" customHeight="1" x14ac:dyDescent="0.25">
      <c r="A55" s="94"/>
      <c r="B55" s="588"/>
      <c r="C55" s="257" t="str">
        <f>IF(N55&lt;&gt;"",VLOOKUP(N55,BERAHLAK!$B$5:$C$53,2,FALSE),"")</f>
        <v>- Membangun lingkungan kerja yang kondusif</v>
      </c>
      <c r="D55" s="258"/>
      <c r="E55" s="259"/>
      <c r="F55" s="593" t="str">
        <f>IF(O55&lt;&gt;"",VLOOKUP(O55,BERAHLAK!$E$5:$F$53,2,FALSE),"")</f>
        <v>- Selalu siap memberi bantuan dengan atau tanpa harus diminta kepada teman sejawat atau pihak yang membutuhkan.</v>
      </c>
      <c r="G55" s="594"/>
      <c r="H55" s="594"/>
      <c r="I55" s="594"/>
      <c r="J55" s="594"/>
      <c r="K55" s="595"/>
      <c r="L55" s="95"/>
      <c r="M55" s="96"/>
      <c r="N55" s="404" t="s">
        <v>167</v>
      </c>
      <c r="O55" s="406" t="s">
        <v>166</v>
      </c>
      <c r="P55" s="444"/>
      <c r="Q55" s="444"/>
      <c r="R55" s="445"/>
    </row>
    <row r="56" spans="1:18" s="15" customFormat="1" ht="15.75" x14ac:dyDescent="0.25">
      <c r="A56" s="94"/>
      <c r="B56" s="586">
        <v>5</v>
      </c>
      <c r="C56" s="263" t="str">
        <f>IF(N56&lt;&gt;"",VLOOKUP(N56,BERAHLAK!$B$5:$C$53,2,FALSE),"")</f>
        <v>Loyal</v>
      </c>
      <c r="D56" s="252"/>
      <c r="E56" s="252"/>
      <c r="F56" s="252"/>
      <c r="G56" s="252"/>
      <c r="H56" s="252"/>
      <c r="I56" s="252"/>
      <c r="J56" s="252"/>
      <c r="K56" s="253"/>
      <c r="L56" s="95"/>
      <c r="M56" s="96"/>
      <c r="N56" s="404" t="s">
        <v>85</v>
      </c>
      <c r="O56" s="405"/>
      <c r="P56" s="444"/>
      <c r="Q56" s="444"/>
      <c r="R56" s="445"/>
    </row>
    <row r="57" spans="1:18" s="15" customFormat="1" ht="33.75" customHeight="1" x14ac:dyDescent="0.25">
      <c r="A57" s="94"/>
      <c r="B57" s="587"/>
      <c r="C57" s="600" t="str">
        <f>IF(N57&lt;&gt;"",VLOOKUP(N57,BERAHLAK!$B$5:$C$53,2,FALSE),"")</f>
        <v>- Memegang teguh ideologi Pancasila, UUD Negara Republik Indonesia Tahun 1945, setia kepada NKRI serta pemerintahan yang sah.</v>
      </c>
      <c r="D57" s="601"/>
      <c r="E57" s="602"/>
      <c r="F57" s="251" t="s">
        <v>27</v>
      </c>
      <c r="G57" s="252"/>
      <c r="H57" s="252"/>
      <c r="I57" s="252"/>
      <c r="J57" s="252"/>
      <c r="K57" s="253"/>
      <c r="L57" s="95"/>
      <c r="M57" s="96"/>
      <c r="N57" s="404" t="s">
        <v>168</v>
      </c>
      <c r="O57" s="405"/>
      <c r="P57" s="444"/>
      <c r="Q57" s="444"/>
      <c r="R57" s="445"/>
    </row>
    <row r="58" spans="1:18" s="15" customFormat="1" ht="31.5" customHeight="1" x14ac:dyDescent="0.25">
      <c r="A58" s="94"/>
      <c r="B58" s="587"/>
      <c r="C58" s="264" t="str">
        <f>IF(N58&lt;&gt;"",VLOOKUP(N58,BERAHLAK!$B$5:$C$53,2,FALSE),"")</f>
        <v>- Menjaga nama baik sesama ASN, Pimpinan, Instansi, dan Negara</v>
      </c>
      <c r="D58" s="254"/>
      <c r="E58" s="255"/>
      <c r="F58" s="590" t="str">
        <f>IF(O58&lt;&gt;"",VLOOKUP(O58,BERAHLAK!$E$5:$F$53,2,FALSE),"")</f>
        <v>- Taat terhadap atasan sesuai dengan Struktur Jabatan pada Instansi pegawai berada</v>
      </c>
      <c r="G58" s="591"/>
      <c r="H58" s="591"/>
      <c r="I58" s="591"/>
      <c r="J58" s="591"/>
      <c r="K58" s="592"/>
      <c r="L58" s="95"/>
      <c r="M58" s="96"/>
      <c r="N58" s="404" t="s">
        <v>169</v>
      </c>
      <c r="O58" s="406" t="s">
        <v>168</v>
      </c>
      <c r="P58" s="444"/>
      <c r="Q58" s="444"/>
      <c r="R58" s="445"/>
    </row>
    <row r="59" spans="1:18" s="15" customFormat="1" ht="22.5" customHeight="1" x14ac:dyDescent="0.25">
      <c r="A59" s="94"/>
      <c r="B59" s="588"/>
      <c r="C59" s="257" t="str">
        <f>IF(N59&lt;&gt;"",VLOOKUP(N59,BERAHLAK!$B$5:$C$53,2,FALSE),"")</f>
        <v>- Menjaga rahasia jabatan dan negara</v>
      </c>
      <c r="D59" s="258"/>
      <c r="E59" s="259"/>
      <c r="F59" s="256" t="str">
        <f>IF(O59&lt;&gt;"",VLOOKUP(O59,BERAHLAK!$E$5:$F$53,2,FALSE),"")</f>
        <v/>
      </c>
      <c r="G59" s="261"/>
      <c r="H59" s="261"/>
      <c r="I59" s="261"/>
      <c r="J59" s="261"/>
      <c r="K59" s="262"/>
      <c r="L59" s="95"/>
      <c r="M59" s="96"/>
      <c r="N59" s="404" t="s">
        <v>170</v>
      </c>
      <c r="O59" s="406"/>
      <c r="P59" s="444"/>
      <c r="Q59" s="444"/>
      <c r="R59" s="445"/>
    </row>
    <row r="60" spans="1:18" s="15" customFormat="1" ht="15.75" x14ac:dyDescent="0.25">
      <c r="A60" s="94"/>
      <c r="B60" s="586">
        <v>6</v>
      </c>
      <c r="C60" s="263" t="str">
        <f>IF(N60&lt;&gt;"",VLOOKUP(N60,BERAHLAK!$B$5:$C$53,2,FALSE),"")</f>
        <v>Adaptif</v>
      </c>
      <c r="D60" s="252"/>
      <c r="E60" s="252"/>
      <c r="F60" s="252"/>
      <c r="G60" s="252"/>
      <c r="H60" s="252"/>
      <c r="I60" s="252"/>
      <c r="J60" s="252"/>
      <c r="K60" s="253"/>
      <c r="L60" s="95"/>
      <c r="M60" s="96"/>
      <c r="N60" s="404" t="s">
        <v>154</v>
      </c>
      <c r="O60" s="405"/>
      <c r="P60" s="444"/>
      <c r="Q60" s="444"/>
      <c r="R60" s="445"/>
    </row>
    <row r="61" spans="1:18" s="15" customFormat="1" ht="15.75" x14ac:dyDescent="0.25">
      <c r="A61" s="94"/>
      <c r="B61" s="587"/>
      <c r="C61" s="248" t="str">
        <f>IF(N61&lt;&gt;"",VLOOKUP(N61,BERAHLAK!$B$5:$C$53,2,FALSE),"")</f>
        <v>- Cepat menyesuaikan diri menghadapi perubahan</v>
      </c>
      <c r="D61" s="249"/>
      <c r="E61" s="250"/>
      <c r="F61" s="251" t="s">
        <v>27</v>
      </c>
      <c r="G61" s="252"/>
      <c r="H61" s="252"/>
      <c r="I61" s="252"/>
      <c r="J61" s="252"/>
      <c r="K61" s="253"/>
      <c r="L61" s="95"/>
      <c r="M61" s="96"/>
      <c r="N61" s="404" t="s">
        <v>171</v>
      </c>
      <c r="O61" s="405"/>
      <c r="P61" s="444"/>
      <c r="Q61" s="444"/>
      <c r="R61" s="445"/>
    </row>
    <row r="62" spans="1:18" s="15" customFormat="1" ht="32.25" customHeight="1" x14ac:dyDescent="0.25">
      <c r="A62" s="94"/>
      <c r="B62" s="587"/>
      <c r="C62" s="264" t="str">
        <f>IF(N62&lt;&gt;"",VLOOKUP(N62,BERAHLAK!$B$5:$C$53,2,FALSE),"")</f>
        <v>- Terus berinovasi dan mengembangkan kreativitas</v>
      </c>
      <c r="D62" s="254"/>
      <c r="E62" s="255"/>
      <c r="F62" s="590" t="str">
        <f>IF(O62&lt;&gt;"",VLOOKUP(O62,BERAHLAK!$E$5:$F$53,2,FALSE),"")</f>
        <v>- Mengimplementasikan perkembangan teknologi untuk memperbaiki metode dan proses kerja.</v>
      </c>
      <c r="G62" s="591"/>
      <c r="H62" s="591"/>
      <c r="I62" s="591"/>
      <c r="J62" s="591"/>
      <c r="K62" s="592"/>
      <c r="L62" s="95"/>
      <c r="M62" s="96"/>
      <c r="N62" s="404" t="s">
        <v>172</v>
      </c>
      <c r="O62" s="406" t="s">
        <v>171</v>
      </c>
      <c r="P62" s="444"/>
      <c r="Q62" s="444"/>
      <c r="R62" s="445"/>
    </row>
    <row r="63" spans="1:18" s="15" customFormat="1" ht="15.75" x14ac:dyDescent="0.25">
      <c r="A63" s="94"/>
      <c r="B63" s="588"/>
      <c r="C63" s="257" t="str">
        <f>IF(N63&lt;&gt;"",VLOOKUP(N63,BERAHLAK!$B$5:$C$53,2,FALSE),"")</f>
        <v>- Bertindak proaktif</v>
      </c>
      <c r="D63" s="258"/>
      <c r="E63" s="259"/>
      <c r="F63" s="256" t="str">
        <f>IF(O63&lt;&gt;"",VLOOKUP(O63,BERAHLAK!$E$5:$F$53,2,FALSE),"")</f>
        <v/>
      </c>
      <c r="G63" s="261"/>
      <c r="H63" s="261"/>
      <c r="I63" s="261"/>
      <c r="J63" s="261"/>
      <c r="K63" s="262"/>
      <c r="L63" s="95"/>
      <c r="M63" s="96"/>
      <c r="N63" s="404" t="s">
        <v>173</v>
      </c>
      <c r="O63" s="406"/>
      <c r="P63" s="444"/>
      <c r="Q63" s="444"/>
      <c r="R63" s="445"/>
    </row>
    <row r="64" spans="1:18" s="15" customFormat="1" ht="15.75" x14ac:dyDescent="0.25">
      <c r="A64" s="94"/>
      <c r="B64" s="586">
        <v>7</v>
      </c>
      <c r="C64" s="263" t="str">
        <f>IF(N64&lt;&gt;"",VLOOKUP(N64,BERAHLAK!$B$5:$C$53,2,FALSE),"")</f>
        <v>Kolaboratif</v>
      </c>
      <c r="D64" s="252"/>
      <c r="E64" s="252"/>
      <c r="F64" s="252"/>
      <c r="G64" s="252"/>
      <c r="H64" s="252"/>
      <c r="I64" s="252"/>
      <c r="J64" s="252"/>
      <c r="K64" s="253"/>
      <c r="L64" s="95"/>
      <c r="M64" s="96"/>
      <c r="N64" s="404" t="s">
        <v>155</v>
      </c>
      <c r="O64" s="405"/>
      <c r="P64" s="444"/>
      <c r="Q64" s="444"/>
      <c r="R64" s="445"/>
    </row>
    <row r="65" spans="1:18" s="15" customFormat="1" ht="30.75" customHeight="1" x14ac:dyDescent="0.25">
      <c r="A65" s="94"/>
      <c r="B65" s="587"/>
      <c r="C65" s="600" t="str">
        <f>IF(N65&lt;&gt;"",VLOOKUP(N65,BERAHLAK!$B$5:$C$53,2,FALSE),"")</f>
        <v>- Memberi kesempatan kepada berbagai pihak untuk berkontribusi</v>
      </c>
      <c r="D65" s="601"/>
      <c r="E65" s="602"/>
      <c r="F65" s="502" t="s">
        <v>27</v>
      </c>
      <c r="G65" s="252"/>
      <c r="H65" s="252"/>
      <c r="I65" s="252"/>
      <c r="J65" s="252"/>
      <c r="K65" s="253"/>
      <c r="L65" s="95"/>
      <c r="M65" s="96"/>
      <c r="N65" s="404" t="s">
        <v>174</v>
      </c>
      <c r="O65" s="405"/>
      <c r="P65" s="444"/>
      <c r="Q65" s="444"/>
      <c r="R65" s="445"/>
    </row>
    <row r="66" spans="1:18" s="3" customFormat="1" ht="37.5" customHeight="1" x14ac:dyDescent="0.25">
      <c r="A66" s="93"/>
      <c r="B66" s="587"/>
      <c r="C66" s="596" t="str">
        <f>IF(N66&lt;&gt;"",VLOOKUP(N66,BERAHLAK!$B$5:$C$53,2,FALSE),"")</f>
        <v>- Terbuka dalam bekerja sama untuk menghasilkan nilai tambah</v>
      </c>
      <c r="D66" s="597"/>
      <c r="E66" s="598"/>
      <c r="F66" s="590" t="str">
        <f>IF(O66&lt;&gt;"",VLOOKUP(O66,BERAHLAK!$E$5:$F$53,2,FALSE),"")</f>
        <v>- Aktif berpartisipasi sesuai keahliannya pada project unit kerja</v>
      </c>
      <c r="G66" s="591"/>
      <c r="H66" s="591"/>
      <c r="I66" s="591"/>
      <c r="J66" s="591"/>
      <c r="K66" s="592"/>
      <c r="L66" s="95"/>
      <c r="M66" s="96"/>
      <c r="N66" s="404" t="s">
        <v>175</v>
      </c>
      <c r="O66" s="407" t="s">
        <v>174</v>
      </c>
      <c r="P66" s="442"/>
      <c r="Q66" s="442"/>
      <c r="R66" s="443"/>
    </row>
    <row r="67" spans="1:18" s="3" customFormat="1" ht="37.5" customHeight="1" x14ac:dyDescent="0.25">
      <c r="A67" s="93"/>
      <c r="B67" s="588"/>
      <c r="C67" s="599" t="str">
        <f>IF(N67&lt;&gt;"",VLOOKUP(N67,BERAHLAK!$B$5:$C$53,2,FALSE),"")</f>
        <v>- Menggerakkan pemanfaatan berbagai sumberdaya untuk tujuan bersama</v>
      </c>
      <c r="D67" s="539"/>
      <c r="E67" s="540"/>
      <c r="F67" s="593" t="str">
        <f>IF(O67&lt;&gt;"",VLOOKUP(O67,BERAHLAK!$E$5:$F$53,2,FALSE),"")</f>
        <v>- Aktif berkontribusi sesuai keahliannya pada project unit kerja</v>
      </c>
      <c r="G67" s="594"/>
      <c r="H67" s="594"/>
      <c r="I67" s="594"/>
      <c r="J67" s="594"/>
      <c r="K67" s="595"/>
      <c r="L67" s="95"/>
      <c r="M67" s="96"/>
      <c r="N67" s="404" t="s">
        <v>176</v>
      </c>
      <c r="O67" s="407" t="s">
        <v>175</v>
      </c>
      <c r="P67" s="442"/>
      <c r="Q67" s="442"/>
      <c r="R67" s="443"/>
    </row>
    <row r="68" spans="1:18" s="3" customFormat="1" ht="15" customHeight="1" x14ac:dyDescent="0.25">
      <c r="A68" s="93"/>
      <c r="B68" s="86"/>
      <c r="C68" s="87"/>
      <c r="D68" s="87"/>
      <c r="E68" s="87"/>
      <c r="F68" s="87"/>
      <c r="G68" s="79"/>
      <c r="H68" s="79"/>
      <c r="I68" s="79"/>
      <c r="J68" s="79"/>
      <c r="K68" s="79"/>
      <c r="L68" s="89"/>
      <c r="M68" s="95"/>
      <c r="N68" s="95"/>
      <c r="O68" s="95"/>
      <c r="P68" s="442"/>
      <c r="Q68" s="442"/>
      <c r="R68" s="443"/>
    </row>
    <row r="69" spans="1:18" ht="28.5" customHeight="1" x14ac:dyDescent="0.25">
      <c r="A69" s="88"/>
      <c r="B69" s="484" t="s">
        <v>439</v>
      </c>
      <c r="C69" s="484"/>
      <c r="D69" s="484"/>
      <c r="E69"/>
      <c r="F69"/>
      <c r="G69"/>
      <c r="H69"/>
      <c r="I69"/>
      <c r="J69"/>
      <c r="K69"/>
      <c r="L69" s="89"/>
      <c r="M69" s="96"/>
      <c r="N69" s="96"/>
      <c r="O69" s="96"/>
      <c r="P69" s="442"/>
      <c r="Q69" s="442"/>
      <c r="R69" s="443"/>
    </row>
    <row r="70" spans="1:18" ht="20.25" customHeight="1" x14ac:dyDescent="0.25">
      <c r="A70" s="88"/>
      <c r="B70" s="603" t="s">
        <v>55</v>
      </c>
      <c r="C70" s="604"/>
      <c r="D70" s="604"/>
      <c r="E70" s="605"/>
      <c r="F70" s="605"/>
      <c r="G70" s="605"/>
      <c r="H70" s="605"/>
      <c r="I70" s="605"/>
      <c r="J70" s="605"/>
      <c r="K70" s="606"/>
      <c r="L70" s="89"/>
      <c r="M70" s="96"/>
      <c r="N70" s="96"/>
      <c r="O70" s="96"/>
      <c r="P70" s="442"/>
      <c r="Q70" s="442"/>
      <c r="R70" s="443"/>
    </row>
    <row r="71" spans="1:18" ht="18.75" customHeight="1" x14ac:dyDescent="0.25">
      <c r="A71" s="88"/>
      <c r="B71" s="475"/>
      <c r="C71" s="487" t="s">
        <v>438</v>
      </c>
      <c r="D71" s="487"/>
      <c r="E71"/>
      <c r="F71"/>
      <c r="G71"/>
      <c r="H71"/>
      <c r="I71"/>
      <c r="J71"/>
      <c r="K71" s="494"/>
      <c r="L71" s="89"/>
      <c r="M71" s="96"/>
      <c r="N71" s="96"/>
      <c r="O71" s="96"/>
      <c r="P71" s="442"/>
      <c r="Q71" s="442"/>
      <c r="R71" s="443"/>
    </row>
    <row r="72" spans="1:18" ht="33" customHeight="1" x14ac:dyDescent="0.25">
      <c r="A72" s="88"/>
      <c r="B72" s="475"/>
      <c r="C72" s="535" t="s">
        <v>257</v>
      </c>
      <c r="D72" s="536"/>
      <c r="E72" s="536"/>
      <c r="F72" s="536"/>
      <c r="G72" s="536"/>
      <c r="H72" s="536"/>
      <c r="I72" s="536"/>
      <c r="J72" s="536"/>
      <c r="K72" s="537"/>
      <c r="L72" s="89"/>
      <c r="M72" s="96"/>
      <c r="N72" s="96"/>
      <c r="O72" s="96"/>
      <c r="P72" s="442"/>
      <c r="Q72" s="442"/>
      <c r="R72" s="443"/>
    </row>
    <row r="73" spans="1:18" ht="39" customHeight="1" x14ac:dyDescent="0.25">
      <c r="A73" s="88"/>
      <c r="B73" s="476"/>
      <c r="C73" s="538" t="s">
        <v>258</v>
      </c>
      <c r="D73" s="539"/>
      <c r="E73" s="539"/>
      <c r="F73" s="539"/>
      <c r="G73" s="539"/>
      <c r="H73" s="539"/>
      <c r="I73" s="539"/>
      <c r="J73" s="539"/>
      <c r="K73" s="540"/>
      <c r="L73" s="89"/>
      <c r="M73" s="96"/>
      <c r="N73" s="96"/>
      <c r="O73" s="96"/>
      <c r="P73" s="442"/>
      <c r="Q73" s="442"/>
      <c r="R73" s="443"/>
    </row>
    <row r="74" spans="1:18" ht="20.25" customHeight="1" x14ac:dyDescent="0.25">
      <c r="A74" s="88"/>
      <c r="B74" s="501" t="s">
        <v>56</v>
      </c>
      <c r="C74" s="491"/>
      <c r="D74" s="491"/>
      <c r="E74" s="499"/>
      <c r="F74" s="499"/>
      <c r="G74" s="499"/>
      <c r="H74" s="499"/>
      <c r="I74" s="499"/>
      <c r="J74" s="499"/>
      <c r="K74" s="500"/>
      <c r="L74" s="89"/>
      <c r="M74" s="96"/>
      <c r="N74" s="96"/>
      <c r="O74" s="96"/>
      <c r="P74" s="442"/>
      <c r="Q74" s="442"/>
      <c r="R74" s="443"/>
    </row>
    <row r="75" spans="1:18" ht="22.5" customHeight="1" x14ac:dyDescent="0.25">
      <c r="A75" s="88"/>
      <c r="B75" s="477"/>
      <c r="C75" s="495" t="s">
        <v>231</v>
      </c>
      <c r="D75" s="496"/>
      <c r="E75" s="492"/>
      <c r="F75" s="492"/>
      <c r="G75" s="492"/>
      <c r="H75" s="492"/>
      <c r="I75" s="492"/>
      <c r="J75" s="492"/>
      <c r="K75" s="493"/>
      <c r="L75" s="89"/>
      <c r="M75" s="96"/>
      <c r="N75" s="96"/>
      <c r="O75" s="96"/>
      <c r="P75" s="442"/>
      <c r="Q75" s="442"/>
      <c r="R75" s="443"/>
    </row>
    <row r="76" spans="1:18" ht="25.5" customHeight="1" x14ac:dyDescent="0.25">
      <c r="A76" s="88"/>
      <c r="B76" s="477" t="str">
        <f>B17&amp;""</f>
        <v>1</v>
      </c>
      <c r="C76" s="533" t="str">
        <f>H18&amp;" (Tertuang dalam Laporan dan atau Dokumen)"</f>
        <v>Program Pengawasan dan Program Bimlat Guru / Kepala Sekolah. (Tertuang dalam Laporan dan atau Dokumen)</v>
      </c>
      <c r="D76" s="534"/>
      <c r="E76" s="534"/>
      <c r="F76" s="534"/>
      <c r="G76" s="534"/>
      <c r="H76" s="534"/>
      <c r="I76" s="534"/>
      <c r="J76" s="534"/>
      <c r="K76" s="534"/>
      <c r="L76" s="89"/>
      <c r="M76" s="96"/>
      <c r="N76" s="96"/>
      <c r="O76" s="96"/>
      <c r="P76" s="442"/>
      <c r="Q76" s="442"/>
      <c r="R76" s="443"/>
    </row>
    <row r="77" spans="1:18" ht="25.5" customHeight="1" x14ac:dyDescent="0.25">
      <c r="A77" s="88"/>
      <c r="B77" s="477" t="str">
        <f>B20&amp;""</f>
        <v>2</v>
      </c>
      <c r="C77" s="533" t="str">
        <f>H21&amp;" (Tertuang dalam Laporan dan atau Dokumen)"</f>
        <v>Materi Pengawasan, instrumen, daftar hadir, suket kegiatan dari KS. (Tertuang dalam Laporan dan atau Dokumen)</v>
      </c>
      <c r="D77" s="534"/>
      <c r="E77" s="534"/>
      <c r="F77" s="534"/>
      <c r="G77" s="534"/>
      <c r="H77" s="534"/>
      <c r="I77" s="534"/>
      <c r="J77" s="534"/>
      <c r="K77" s="534"/>
      <c r="L77" s="89"/>
      <c r="M77" s="96"/>
      <c r="N77" s="96"/>
      <c r="O77" s="96"/>
      <c r="P77" s="442"/>
      <c r="Q77" s="442"/>
      <c r="R77" s="443"/>
    </row>
    <row r="78" spans="1:18" ht="25.5" customHeight="1" x14ac:dyDescent="0.25">
      <c r="A78" s="88"/>
      <c r="B78" s="477" t="str">
        <f>B23&amp;""</f>
        <v>3</v>
      </c>
      <c r="C78" s="533" t="str">
        <f>H24&amp;" (Tertuang dalam Laporan dan atau Dokumen)"</f>
        <v>Materi Instrumen Pengawasan sekolah, daftar hadir, suket dari KS. (Tertuang dalam Laporan dan atau Dokumen)</v>
      </c>
      <c r="D78" s="534"/>
      <c r="E78" s="534"/>
      <c r="F78" s="534"/>
      <c r="G78" s="534"/>
      <c r="H78" s="534"/>
      <c r="I78" s="534"/>
      <c r="J78" s="534"/>
      <c r="K78" s="534"/>
      <c r="L78" s="89"/>
      <c r="M78" s="96"/>
      <c r="N78" s="96"/>
      <c r="O78" s="96"/>
      <c r="P78" s="442"/>
      <c r="Q78" s="442"/>
      <c r="R78" s="443"/>
    </row>
    <row r="79" spans="1:18" ht="25.5" customHeight="1" x14ac:dyDescent="0.25">
      <c r="A79" s="88"/>
      <c r="B79" s="477" t="str">
        <f>B26&amp;""</f>
        <v>4</v>
      </c>
      <c r="C79" s="533" t="str">
        <f>H27&amp;" (Tertuang dalam Laporan dan atau Dokumen)"</f>
        <v>Instrumen Evaluasi Pengawasan, dafhad, suket kegiatan dari KS. (Tertuang dalam Laporan dan atau Dokumen)</v>
      </c>
      <c r="D79" s="534"/>
      <c r="E79" s="534"/>
      <c r="F79" s="534"/>
      <c r="G79" s="534"/>
      <c r="H79" s="534"/>
      <c r="I79" s="534"/>
      <c r="J79" s="534"/>
      <c r="K79" s="534"/>
      <c r="L79" s="89"/>
      <c r="M79" s="96"/>
      <c r="N79" s="96"/>
      <c r="O79" s="96"/>
      <c r="P79" s="442"/>
      <c r="Q79" s="442"/>
      <c r="R79" s="443"/>
    </row>
    <row r="80" spans="1:18" ht="25.5" customHeight="1" x14ac:dyDescent="0.25">
      <c r="A80" s="88"/>
      <c r="B80" s="477" t="str">
        <f>B29&amp;""</f>
        <v>5</v>
      </c>
      <c r="C80" s="533" t="str">
        <f>H30&amp;" (Tertuang dalam Laporan dan atau Dokumen)"</f>
        <v>Laporan PD, daftar hadir, suket kegiatan dari Korwas. (Tertuang dalam Laporan dan atau Dokumen)</v>
      </c>
      <c r="D80" s="534"/>
      <c r="E80" s="534"/>
      <c r="F80" s="534"/>
      <c r="G80" s="534"/>
      <c r="H80" s="534"/>
      <c r="I80" s="534"/>
      <c r="J80" s="534"/>
      <c r="K80" s="534"/>
      <c r="L80" s="89"/>
      <c r="M80" s="96"/>
      <c r="N80" s="96"/>
      <c r="O80" s="96"/>
      <c r="P80" s="442"/>
      <c r="Q80" s="442"/>
      <c r="R80" s="443"/>
    </row>
    <row r="81" spans="1:18" ht="25.5" customHeight="1" x14ac:dyDescent="0.25">
      <c r="A81" s="88"/>
      <c r="B81" s="477" t="str">
        <f>(B80+1)&amp;""</f>
        <v>6</v>
      </c>
      <c r="C81" s="533" t="str">
        <f>H34&amp;" (Tertuang dalam Laporan dan atau Dokumen)"</f>
        <v>Dokumen Tugas Tambahan sebagai Pengurus APSI (Tertuang dalam Laporan dan atau Dokumen)</v>
      </c>
      <c r="D81" s="534"/>
      <c r="E81" s="534"/>
      <c r="F81" s="534"/>
      <c r="G81" s="534"/>
      <c r="H81" s="534"/>
      <c r="I81" s="534"/>
      <c r="J81" s="534"/>
      <c r="K81" s="534"/>
      <c r="L81" s="89"/>
      <c r="M81" s="96"/>
      <c r="N81" s="96"/>
      <c r="O81" s="96"/>
      <c r="P81" s="442"/>
      <c r="Q81" s="442"/>
      <c r="R81" s="443"/>
    </row>
    <row r="82" spans="1:18" ht="25.5" customHeight="1" x14ac:dyDescent="0.25">
      <c r="A82" s="88"/>
      <c r="B82" s="477" t="str">
        <f>(B81+1)&amp;""</f>
        <v>7</v>
      </c>
      <c r="C82" s="533" t="str">
        <f>H37&amp;" (Tertuang dalam Laporan dan atau Dokumen)"</f>
        <v>Sertifikat Webinar APSI Pusat sebagai peserta (Tertuang dalam Laporan dan atau Dokumen)</v>
      </c>
      <c r="D82" s="534"/>
      <c r="E82" s="534"/>
      <c r="F82" s="534"/>
      <c r="G82" s="534"/>
      <c r="H82" s="534"/>
      <c r="I82" s="534"/>
      <c r="J82" s="534"/>
      <c r="K82" s="534"/>
      <c r="L82" s="89"/>
      <c r="M82" s="96"/>
      <c r="N82" s="96"/>
      <c r="O82" s="96"/>
      <c r="P82" s="442"/>
      <c r="Q82" s="442"/>
      <c r="R82" s="443"/>
    </row>
    <row r="83" spans="1:18" ht="20.25" customHeight="1" x14ac:dyDescent="0.25">
      <c r="A83" s="88"/>
      <c r="B83" s="503" t="s">
        <v>57</v>
      </c>
      <c r="C83" s="488"/>
      <c r="D83" s="488"/>
      <c r="E83" s="489"/>
      <c r="F83" s="489"/>
      <c r="G83" s="489"/>
      <c r="H83" s="489"/>
      <c r="I83" s="489"/>
      <c r="J83" s="489"/>
      <c r="K83" s="490"/>
      <c r="L83" s="89"/>
      <c r="M83" s="96"/>
      <c r="N83" s="96"/>
      <c r="O83" s="96"/>
      <c r="P83" s="442"/>
      <c r="Q83" s="442"/>
      <c r="R83" s="443"/>
    </row>
    <row r="84" spans="1:18" ht="15.75" x14ac:dyDescent="0.25">
      <c r="A84" s="88"/>
      <c r="B84" s="485">
        <v>1</v>
      </c>
      <c r="C84" s="485" t="s">
        <v>232</v>
      </c>
      <c r="D84" s="485"/>
      <c r="E84" s="497"/>
      <c r="F84" s="497"/>
      <c r="G84" s="497"/>
      <c r="H84" s="497"/>
      <c r="I84" s="497"/>
      <c r="J84" s="497"/>
      <c r="K84" s="498"/>
      <c r="L84" s="89"/>
      <c r="M84" s="96"/>
      <c r="N84" s="96"/>
      <c r="O84" s="96"/>
      <c r="P84" s="442"/>
      <c r="Q84" s="442"/>
      <c r="R84" s="443"/>
    </row>
    <row r="85" spans="1:18" ht="39.75" customHeight="1" x14ac:dyDescent="0.25">
      <c r="A85" s="88"/>
      <c r="B85" s="486"/>
      <c r="C85" s="538" t="s">
        <v>259</v>
      </c>
      <c r="D85" s="539"/>
      <c r="E85" s="539"/>
      <c r="F85" s="539"/>
      <c r="G85" s="539"/>
      <c r="H85" s="539"/>
      <c r="I85" s="539"/>
      <c r="J85" s="539"/>
      <c r="K85" s="540"/>
      <c r="L85" s="89"/>
      <c r="M85" s="96"/>
      <c r="N85" s="96"/>
      <c r="O85" s="96"/>
      <c r="P85" s="442"/>
      <c r="Q85" s="442"/>
      <c r="R85" s="443"/>
    </row>
    <row r="86" spans="1:18" ht="15.75" x14ac:dyDescent="0.25">
      <c r="A86" s="88"/>
      <c r="B86" s="485">
        <v>2</v>
      </c>
      <c r="C86" s="485" t="s">
        <v>233</v>
      </c>
      <c r="D86" s="485"/>
      <c r="E86" s="497"/>
      <c r="F86" s="497"/>
      <c r="G86" s="497"/>
      <c r="H86" s="497"/>
      <c r="I86" s="497"/>
      <c r="J86" s="497"/>
      <c r="K86" s="498"/>
      <c r="L86" s="89"/>
      <c r="M86" s="96"/>
      <c r="N86" s="96"/>
      <c r="O86" s="96"/>
      <c r="P86" s="442"/>
      <c r="Q86" s="442"/>
      <c r="R86" s="443"/>
    </row>
    <row r="87" spans="1:18" ht="55.5" customHeight="1" x14ac:dyDescent="0.25">
      <c r="A87" s="88"/>
      <c r="B87" s="486"/>
      <c r="C87" s="538" t="s">
        <v>331</v>
      </c>
      <c r="D87" s="539"/>
      <c r="E87" s="539"/>
      <c r="F87" s="539"/>
      <c r="G87" s="539"/>
      <c r="H87" s="539"/>
      <c r="I87" s="539"/>
      <c r="J87" s="539"/>
      <c r="K87" s="540"/>
      <c r="L87" s="89"/>
      <c r="M87" s="96"/>
      <c r="N87" s="96"/>
      <c r="O87" s="96"/>
      <c r="P87" s="442"/>
      <c r="Q87" s="442"/>
      <c r="R87" s="443"/>
    </row>
    <row r="88" spans="1:18" s="3" customFormat="1" ht="15" customHeight="1" x14ac:dyDescent="0.25">
      <c r="A88" s="93"/>
      <c r="B88" s="86"/>
      <c r="C88" s="87"/>
      <c r="D88" s="87"/>
      <c r="E88" s="87"/>
      <c r="F88" s="87"/>
      <c r="G88" s="79"/>
      <c r="H88" s="79"/>
      <c r="I88" s="79"/>
      <c r="J88" s="79"/>
      <c r="K88" s="79"/>
      <c r="L88" s="89"/>
      <c r="M88" s="96"/>
      <c r="N88" s="96"/>
      <c r="O88" s="96"/>
      <c r="P88" s="442"/>
      <c r="Q88" s="442"/>
      <c r="R88" s="443"/>
    </row>
    <row r="89" spans="1:18" s="3" customFormat="1" ht="15" customHeight="1" x14ac:dyDescent="0.25">
      <c r="A89" s="93"/>
      <c r="B89" s="86"/>
      <c r="C89" s="87"/>
      <c r="D89" s="87"/>
      <c r="E89" s="87"/>
      <c r="F89" s="87"/>
      <c r="G89" s="79"/>
      <c r="H89" s="79"/>
      <c r="I89" s="79"/>
      <c r="J89" s="79"/>
      <c r="K89" s="79"/>
      <c r="L89" s="89"/>
      <c r="M89" s="96"/>
      <c r="N89" s="96"/>
      <c r="O89" s="96"/>
      <c r="P89" s="442"/>
      <c r="Q89" s="442"/>
      <c r="R89" s="443"/>
    </row>
    <row r="90" spans="1:18" s="3" customFormat="1" ht="15" customHeight="1" x14ac:dyDescent="0.25">
      <c r="A90" s="93"/>
      <c r="B90" s="86"/>
      <c r="C90" s="87"/>
      <c r="D90" s="87"/>
      <c r="E90" s="87"/>
      <c r="F90" s="87"/>
      <c r="G90" s="79"/>
      <c r="H90" s="79"/>
      <c r="I90" s="79"/>
      <c r="J90" s="79"/>
      <c r="K90" s="79"/>
      <c r="L90" s="89"/>
      <c r="M90" s="96"/>
      <c r="N90" s="96"/>
      <c r="O90" s="96"/>
      <c r="P90" s="442"/>
      <c r="Q90" s="442"/>
      <c r="R90" s="443"/>
    </row>
    <row r="91" spans="1:18" s="3" customFormat="1" ht="15" customHeight="1" x14ac:dyDescent="0.25">
      <c r="A91" s="93"/>
      <c r="B91" s="86"/>
      <c r="C91" s="87"/>
      <c r="D91" s="87"/>
      <c r="E91" s="87"/>
      <c r="F91" s="87"/>
      <c r="G91" s="79"/>
      <c r="H91" s="79"/>
      <c r="I91" s="79"/>
      <c r="J91" s="79"/>
      <c r="K91" s="79"/>
      <c r="L91" s="89"/>
      <c r="M91" s="96"/>
      <c r="N91" s="96"/>
      <c r="O91" s="96"/>
      <c r="P91" s="442"/>
      <c r="Q91" s="442"/>
      <c r="R91" s="443"/>
    </row>
    <row r="92" spans="1:18" ht="15.75" x14ac:dyDescent="0.25">
      <c r="A92" s="89"/>
      <c r="B92" s="63"/>
      <c r="C92" s="63"/>
      <c r="D92" s="63"/>
      <c r="E92" s="63"/>
      <c r="F92" s="63"/>
      <c r="G92" s="63"/>
      <c r="H92" s="63"/>
      <c r="I92" s="63"/>
      <c r="J92" s="63"/>
      <c r="K92" s="64"/>
      <c r="L92" s="89"/>
      <c r="M92" s="96"/>
      <c r="N92" s="96"/>
      <c r="O92" s="96"/>
      <c r="P92" s="438"/>
      <c r="Q92" s="438"/>
      <c r="R92" s="439"/>
    </row>
    <row r="93" spans="1:18" ht="15.75" x14ac:dyDescent="0.25">
      <c r="A93" s="89"/>
      <c r="B93" s="429"/>
      <c r="C93" s="429"/>
      <c r="D93" s="429"/>
      <c r="E93" s="429"/>
      <c r="F93" s="430"/>
      <c r="G93" s="430"/>
      <c r="H93" s="589" t="str">
        <f>'00 DATA'!N8&amp;", "&amp;'00 DATA'!N4&amp;""</f>
        <v>Kotabumi , 03 Januari 2022</v>
      </c>
      <c r="I93" s="589"/>
      <c r="J93" s="589"/>
      <c r="K93" s="589"/>
      <c r="L93" s="89"/>
      <c r="M93" s="96"/>
      <c r="N93" s="96"/>
      <c r="O93" s="96"/>
      <c r="P93" s="438"/>
      <c r="Q93" s="438"/>
      <c r="R93" s="439"/>
    </row>
    <row r="94" spans="1:18" ht="15.75" x14ac:dyDescent="0.25">
      <c r="A94" s="89"/>
      <c r="B94" s="589" t="s">
        <v>52</v>
      </c>
      <c r="C94" s="589"/>
      <c r="D94" s="589"/>
      <c r="E94" s="589"/>
      <c r="F94" s="430"/>
      <c r="G94" s="430"/>
      <c r="H94" s="589" t="s">
        <v>53</v>
      </c>
      <c r="I94" s="589"/>
      <c r="J94" s="589"/>
      <c r="K94" s="589"/>
      <c r="L94" s="89"/>
      <c r="M94" s="96"/>
      <c r="N94" s="96"/>
      <c r="O94" s="96"/>
      <c r="P94" s="438"/>
      <c r="Q94" s="438"/>
      <c r="R94" s="439"/>
    </row>
    <row r="95" spans="1:18" ht="15.75" x14ac:dyDescent="0.25">
      <c r="A95" s="89"/>
      <c r="B95" s="542"/>
      <c r="C95" s="542"/>
      <c r="D95" s="542"/>
      <c r="E95" s="542"/>
      <c r="F95" s="69"/>
      <c r="G95" s="69"/>
      <c r="H95" s="542"/>
      <c r="I95" s="542"/>
      <c r="J95" s="542"/>
      <c r="K95" s="542"/>
      <c r="L95" s="89"/>
      <c r="M95" s="96"/>
      <c r="N95" s="96"/>
      <c r="O95" s="96"/>
      <c r="P95" s="438"/>
      <c r="Q95" s="438"/>
      <c r="R95" s="439"/>
    </row>
    <row r="96" spans="1:18" ht="15.75" x14ac:dyDescent="0.25">
      <c r="A96" s="89"/>
      <c r="B96" s="542"/>
      <c r="C96" s="542"/>
      <c r="D96" s="542"/>
      <c r="E96" s="542"/>
      <c r="F96" s="69"/>
      <c r="G96" s="69"/>
      <c r="H96" s="542"/>
      <c r="I96" s="542"/>
      <c r="J96" s="542"/>
      <c r="K96" s="542"/>
      <c r="L96" s="89"/>
      <c r="M96" s="96"/>
      <c r="N96" s="96"/>
      <c r="O96" s="96"/>
      <c r="P96" s="438"/>
      <c r="Q96" s="438"/>
      <c r="R96" s="439"/>
    </row>
    <row r="97" spans="1:18" ht="15.75" x14ac:dyDescent="0.25">
      <c r="A97" s="89"/>
      <c r="B97" s="542"/>
      <c r="C97" s="542"/>
      <c r="D97" s="542"/>
      <c r="E97" s="542"/>
      <c r="F97" s="69"/>
      <c r="G97" s="69"/>
      <c r="H97" s="542"/>
      <c r="I97" s="542"/>
      <c r="J97" s="542"/>
      <c r="K97" s="542"/>
      <c r="L97" s="89"/>
      <c r="M97" s="96"/>
      <c r="N97" s="96"/>
      <c r="O97" s="96"/>
      <c r="P97" s="438"/>
      <c r="Q97" s="438"/>
      <c r="R97" s="439"/>
    </row>
    <row r="98" spans="1:18" ht="15.75" x14ac:dyDescent="0.25">
      <c r="A98" s="89"/>
      <c r="B98" s="585" t="str">
        <f>"("&amp;D8&amp;")"</f>
        <v>(RUSLAN, S.Pd)</v>
      </c>
      <c r="C98" s="585"/>
      <c r="D98" s="585"/>
      <c r="E98" s="585"/>
      <c r="F98" s="69"/>
      <c r="G98" s="69"/>
      <c r="H98" s="585" t="str">
        <f>"("&amp;I8&amp;")"</f>
        <v>(TUTI ROSPASARI, S.Pd. M.Pd.)</v>
      </c>
      <c r="I98" s="585"/>
      <c r="J98" s="585"/>
      <c r="K98" s="585"/>
      <c r="L98" s="89"/>
      <c r="M98" s="96"/>
      <c r="N98" s="96"/>
      <c r="O98" s="96"/>
      <c r="P98" s="438"/>
      <c r="Q98" s="438"/>
      <c r="R98" s="439"/>
    </row>
    <row r="99" spans="1:18" ht="15.75" x14ac:dyDescent="0.25">
      <c r="A99" s="89"/>
      <c r="B99" s="542" t="str">
        <f>"NIP."&amp;D9&amp;""</f>
        <v>NIP.19660625 199112 1 001</v>
      </c>
      <c r="C99" s="542"/>
      <c r="D99" s="542"/>
      <c r="E99" s="542"/>
      <c r="F99" s="63"/>
      <c r="G99" s="63"/>
      <c r="H99" s="542" t="str">
        <f>"NIP."&amp;I9&amp;""</f>
        <v>NIP.19721025 199802 2 003</v>
      </c>
      <c r="I99" s="542"/>
      <c r="J99" s="542"/>
      <c r="K99" s="542"/>
      <c r="L99" s="89"/>
      <c r="M99" s="96"/>
      <c r="N99" s="96"/>
      <c r="O99" s="96"/>
      <c r="P99" s="438"/>
      <c r="Q99" s="438"/>
      <c r="R99" s="439"/>
    </row>
    <row r="100" spans="1:18" ht="15.75" x14ac:dyDescent="0.25">
      <c r="A100" s="89"/>
      <c r="B100" s="63"/>
      <c r="C100" s="63"/>
      <c r="D100" s="63"/>
      <c r="E100" s="63"/>
      <c r="F100" s="63"/>
      <c r="G100" s="63"/>
      <c r="H100" s="63"/>
      <c r="I100" s="63"/>
      <c r="J100" s="63"/>
      <c r="K100" s="64"/>
      <c r="L100" s="89"/>
      <c r="M100" s="96"/>
      <c r="N100" s="96"/>
      <c r="O100" s="96"/>
      <c r="P100" s="438"/>
      <c r="Q100" s="438"/>
      <c r="R100" s="439"/>
    </row>
    <row r="101" spans="1:18" ht="15.75" x14ac:dyDescent="0.25">
      <c r="A101" s="89"/>
      <c r="B101" s="63"/>
      <c r="C101" s="63"/>
      <c r="D101" s="63"/>
      <c r="E101" s="63"/>
      <c r="F101" s="63"/>
      <c r="G101" s="63"/>
      <c r="H101" s="63"/>
      <c r="I101" s="63"/>
      <c r="J101" s="63"/>
      <c r="K101" s="64"/>
      <c r="L101" s="89"/>
      <c r="M101" s="96"/>
      <c r="N101" s="96"/>
      <c r="O101" s="96"/>
      <c r="P101" s="438"/>
      <c r="Q101" s="438"/>
      <c r="R101" s="439"/>
    </row>
    <row r="102" spans="1:18" x14ac:dyDescent="0.25">
      <c r="A102" s="89"/>
      <c r="B102" s="90"/>
      <c r="C102" s="90"/>
      <c r="D102" s="90"/>
      <c r="E102" s="90"/>
      <c r="F102" s="90"/>
      <c r="G102" s="90"/>
      <c r="H102" s="90"/>
      <c r="I102" s="90"/>
      <c r="J102" s="90"/>
      <c r="K102" s="91"/>
      <c r="L102" s="89"/>
      <c r="M102" s="96"/>
      <c r="N102" s="96"/>
      <c r="O102" s="96"/>
      <c r="P102" s="438"/>
      <c r="Q102" s="438"/>
      <c r="R102" s="439"/>
    </row>
    <row r="103" spans="1:18" x14ac:dyDescent="0.25">
      <c r="A103" s="89"/>
      <c r="B103" s="90"/>
      <c r="C103" s="90"/>
      <c r="D103" s="90"/>
      <c r="E103" s="90"/>
      <c r="F103" s="90"/>
      <c r="G103" s="90"/>
      <c r="H103" s="90"/>
      <c r="I103" s="90"/>
      <c r="J103" s="90"/>
      <c r="K103" s="91"/>
      <c r="L103" s="89"/>
      <c r="M103" s="96"/>
      <c r="N103" s="96"/>
      <c r="O103" s="96"/>
      <c r="P103" s="438"/>
      <c r="Q103" s="438"/>
      <c r="R103" s="439"/>
    </row>
  </sheetData>
  <sheetProtection algorithmName="SHA-512" hashValue="P3W2Oy22IcrgUpcq6T6tJ/pLub2SrSHaQQqp2Y5axvJ0oBH9OEhOayVIcq764q+mvTCzpWbHZ80xidX6/kqUvg==" saltValue="4j3Rt5Z6jKdwPsgx4RHM6A==" spinCount="100000" sheet="1" objects="1" scenarios="1"/>
  <protectedRanges>
    <protectedRange sqref="C72:D73 C85:D85 C87:D87" name="Range1_1"/>
    <protectedRange sqref="N40:N67 O42:O43 O46:O47 O50:O51 O54:O55 O58:O59 O62:O63 O66:O67" name="Range2"/>
    <protectedRange sqref="B33:B38 N36:O36 N17:O17 N20:O20 N23:O23 N26:O26 N29:O29 N33:O33 B17:B31 G17:K31 G33:K38" name="Range1"/>
  </protectedRanges>
  <mergeCells count="122">
    <mergeCell ref="N14:O14"/>
    <mergeCell ref="B56:B59"/>
    <mergeCell ref="C57:E57"/>
    <mergeCell ref="B40:B43"/>
    <mergeCell ref="B44:B47"/>
    <mergeCell ref="C45:E45"/>
    <mergeCell ref="C46:E46"/>
    <mergeCell ref="F58:K58"/>
    <mergeCell ref="F54:K54"/>
    <mergeCell ref="F50:K50"/>
    <mergeCell ref="B48:B51"/>
    <mergeCell ref="B52:B55"/>
    <mergeCell ref="F51:K51"/>
    <mergeCell ref="C49:E49"/>
    <mergeCell ref="F42:K42"/>
    <mergeCell ref="F43:K43"/>
    <mergeCell ref="F46:K46"/>
    <mergeCell ref="F55:K55"/>
    <mergeCell ref="B17:B19"/>
    <mergeCell ref="B20:B22"/>
    <mergeCell ref="C20:C22"/>
    <mergeCell ref="D20:F22"/>
    <mergeCell ref="H20:I20"/>
    <mergeCell ref="H21:I21"/>
    <mergeCell ref="B98:E98"/>
    <mergeCell ref="H98:K98"/>
    <mergeCell ref="B99:E99"/>
    <mergeCell ref="H99:K99"/>
    <mergeCell ref="B60:B63"/>
    <mergeCell ref="B96:E96"/>
    <mergeCell ref="H96:K96"/>
    <mergeCell ref="B64:B67"/>
    <mergeCell ref="H93:K93"/>
    <mergeCell ref="B94:E94"/>
    <mergeCell ref="H94:K94"/>
    <mergeCell ref="B95:E95"/>
    <mergeCell ref="H95:K95"/>
    <mergeCell ref="F62:K62"/>
    <mergeCell ref="B97:E97"/>
    <mergeCell ref="H97:K97"/>
    <mergeCell ref="F66:K66"/>
    <mergeCell ref="F67:K67"/>
    <mergeCell ref="C66:E66"/>
    <mergeCell ref="C67:E67"/>
    <mergeCell ref="C65:E65"/>
    <mergeCell ref="B70:K70"/>
    <mergeCell ref="C85:K85"/>
    <mergeCell ref="C87:K87"/>
    <mergeCell ref="B23:B25"/>
    <mergeCell ref="C23:C25"/>
    <mergeCell ref="D23:F25"/>
    <mergeCell ref="H24:I24"/>
    <mergeCell ref="H25:I25"/>
    <mergeCell ref="B26:B28"/>
    <mergeCell ref="H36:I36"/>
    <mergeCell ref="H23:I23"/>
    <mergeCell ref="H31:I31"/>
    <mergeCell ref="B36:B38"/>
    <mergeCell ref="C36:C38"/>
    <mergeCell ref="B33:B35"/>
    <mergeCell ref="C33:C35"/>
    <mergeCell ref="D33:F35"/>
    <mergeCell ref="H33:I33"/>
    <mergeCell ref="H34:I34"/>
    <mergeCell ref="H35:I35"/>
    <mergeCell ref="H26:I26"/>
    <mergeCell ref="B29:B31"/>
    <mergeCell ref="C29:C31"/>
    <mergeCell ref="D29:F31"/>
    <mergeCell ref="H29:I29"/>
    <mergeCell ref="H30:I30"/>
    <mergeCell ref="C26:C28"/>
    <mergeCell ref="D10:E10"/>
    <mergeCell ref="D11:E11"/>
    <mergeCell ref="D12:E12"/>
    <mergeCell ref="D15:F15"/>
    <mergeCell ref="H15:I15"/>
    <mergeCell ref="H17:I17"/>
    <mergeCell ref="D17:F19"/>
    <mergeCell ref="C17:C19"/>
    <mergeCell ref="G10:H10"/>
    <mergeCell ref="I10:K10"/>
    <mergeCell ref="G11:H11"/>
    <mergeCell ref="I11:K11"/>
    <mergeCell ref="G12:H12"/>
    <mergeCell ref="I12:K12"/>
    <mergeCell ref="B13:K13"/>
    <mergeCell ref="D14:F14"/>
    <mergeCell ref="H14:I14"/>
    <mergeCell ref="H18:I18"/>
    <mergeCell ref="D26:F28"/>
    <mergeCell ref="H27:I27"/>
    <mergeCell ref="H28:I28"/>
    <mergeCell ref="N15:N16"/>
    <mergeCell ref="O15:O16"/>
    <mergeCell ref="H19:I19"/>
    <mergeCell ref="D36:F38"/>
    <mergeCell ref="H37:I37"/>
    <mergeCell ref="H38:I38"/>
    <mergeCell ref="H22:I22"/>
    <mergeCell ref="B2:K2"/>
    <mergeCell ref="B3:K3"/>
    <mergeCell ref="B4:K4"/>
    <mergeCell ref="B6:E6"/>
    <mergeCell ref="G7:K7"/>
    <mergeCell ref="F6:G6"/>
    <mergeCell ref="G8:H8"/>
    <mergeCell ref="I8:K8"/>
    <mergeCell ref="G9:H9"/>
    <mergeCell ref="I9:K9"/>
    <mergeCell ref="D8:E8"/>
    <mergeCell ref="D9:E9"/>
    <mergeCell ref="C7:E7"/>
    <mergeCell ref="C82:K82"/>
    <mergeCell ref="C81:K81"/>
    <mergeCell ref="C80:K80"/>
    <mergeCell ref="C79:K79"/>
    <mergeCell ref="C78:K78"/>
    <mergeCell ref="C77:K77"/>
    <mergeCell ref="C76:K76"/>
    <mergeCell ref="C72:K72"/>
    <mergeCell ref="C73:K73"/>
  </mergeCells>
  <hyperlinks>
    <hyperlink ref="L1" location="HOME!A1" display="HOME"/>
  </hyperlinks>
  <printOptions horizontalCentered="1"/>
  <pageMargins left="0.59055118110236227" right="0.39370078740157483" top="0.78740157480314965" bottom="0.78740157480314965" header="0.31496062992125984" footer="0.59055118110236227"/>
  <pageSetup paperSize="9" scale="70" orientation="portrait" r:id="rId1"/>
  <headerFooter>
    <oddFooter>&amp;CSKP KUANTITATIF JF&amp;R&amp;P</oddFooter>
  </headerFooter>
  <rowBreaks count="2" manualBreakCount="2">
    <brk id="35" min="1" max="10" man="1"/>
    <brk id="73" min="1" max="1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W103"/>
  <sheetViews>
    <sheetView showGridLines="0" zoomScale="75" zoomScaleNormal="75" zoomScaleSheetLayoutView="50" workbookViewId="0">
      <pane xSplit="3" ySplit="4" topLeftCell="D19" activePane="bottomRight" state="frozen"/>
      <selection pane="topRight" activeCell="D1" sqref="D1"/>
      <selection pane="bottomLeft" activeCell="A5" sqref="A5"/>
      <selection pane="bottomRight" activeCell="O1" sqref="O1"/>
    </sheetView>
  </sheetViews>
  <sheetFormatPr defaultColWidth="9.140625" defaultRowHeight="15.75" x14ac:dyDescent="0.25"/>
  <cols>
    <col min="1" max="1" width="5.28515625" style="63" customWidth="1"/>
    <col min="2" max="2" width="4.7109375" style="63" bestFit="1" customWidth="1"/>
    <col min="3" max="3" width="36" style="63" customWidth="1"/>
    <col min="4" max="4" width="12.140625" style="63" customWidth="1"/>
    <col min="5" max="5" width="26" style="63" customWidth="1"/>
    <col min="6" max="6" width="13.5703125" style="63" customWidth="1"/>
    <col min="7" max="7" width="23.42578125" style="63" customWidth="1"/>
    <col min="8" max="8" width="4.7109375" style="63" bestFit="1" customWidth="1"/>
    <col min="9" max="9" width="8" style="63" customWidth="1"/>
    <col min="10" max="10" width="14.42578125" style="63" customWidth="1"/>
    <col min="11" max="11" width="7" style="64" customWidth="1"/>
    <col min="12" max="12" width="19.28515625" style="64" customWidth="1"/>
    <col min="13" max="13" width="13" style="64" hidden="1" customWidth="1"/>
    <col min="14" max="14" width="44.42578125" style="64" customWidth="1"/>
    <col min="15" max="15" width="7.5703125" style="63" customWidth="1"/>
    <col min="16" max="16" width="9.140625" style="63" hidden="1" customWidth="1"/>
    <col min="17" max="17" width="10.5703125" style="63" hidden="1" customWidth="1"/>
    <col min="18" max="21" width="9.140625" style="69" hidden="1" customWidth="1"/>
    <col min="22" max="22" width="10.42578125" style="63" hidden="1" customWidth="1"/>
    <col min="23" max="16384" width="9.140625" style="63"/>
  </cols>
  <sheetData>
    <row r="1" spans="1:17" ht="24" customHeight="1" x14ac:dyDescent="0.35">
      <c r="A1" s="362" t="str">
        <f>'EVALUASI KINERJA KUANTI JF'!A1&amp;""</f>
        <v>A</v>
      </c>
      <c r="B1" s="110"/>
      <c r="C1" s="110"/>
      <c r="D1" s="110"/>
      <c r="E1" s="110"/>
      <c r="F1" s="110"/>
      <c r="G1" s="110"/>
      <c r="H1" s="110"/>
      <c r="I1" s="110"/>
      <c r="J1" s="110"/>
      <c r="K1" s="111"/>
      <c r="L1" s="111"/>
      <c r="M1" s="111"/>
      <c r="N1" s="111"/>
      <c r="O1" s="72" t="s">
        <v>255</v>
      </c>
    </row>
    <row r="2" spans="1:17" ht="17.45" x14ac:dyDescent="0.35">
      <c r="A2" s="110"/>
      <c r="B2" s="541" t="s">
        <v>101</v>
      </c>
      <c r="C2" s="541"/>
      <c r="D2" s="541"/>
      <c r="E2" s="541"/>
      <c r="F2" s="541"/>
      <c r="G2" s="541"/>
      <c r="H2" s="541"/>
      <c r="I2" s="541"/>
      <c r="J2" s="541"/>
      <c r="K2" s="541"/>
      <c r="L2" s="541"/>
      <c r="M2" s="541"/>
      <c r="N2" s="541"/>
      <c r="O2" s="110"/>
      <c r="P2" s="103"/>
    </row>
    <row r="3" spans="1:17" ht="15.6" x14ac:dyDescent="0.35">
      <c r="A3" s="110"/>
      <c r="B3" s="542" t="str">
        <f>'SKP JF (KUANTITATIF)'!B3&amp;""</f>
        <v>JABATAN FUNGSIONAL KEPALA SEKOLAH</v>
      </c>
      <c r="C3" s="542"/>
      <c r="D3" s="542"/>
      <c r="E3" s="542"/>
      <c r="F3" s="542"/>
      <c r="G3" s="542"/>
      <c r="H3" s="542"/>
      <c r="I3" s="542"/>
      <c r="J3" s="542"/>
      <c r="K3" s="542"/>
      <c r="L3" s="542"/>
      <c r="M3" s="542"/>
      <c r="N3" s="542"/>
      <c r="O3" s="110"/>
    </row>
    <row r="4" spans="1:17" ht="15.6" x14ac:dyDescent="0.35">
      <c r="A4" s="110"/>
      <c r="B4" s="542" t="s">
        <v>1</v>
      </c>
      <c r="C4" s="542"/>
      <c r="D4" s="542"/>
      <c r="E4" s="542"/>
      <c r="F4" s="542"/>
      <c r="G4" s="542"/>
      <c r="H4" s="542"/>
      <c r="I4" s="542"/>
      <c r="J4" s="542"/>
      <c r="K4" s="542"/>
      <c r="L4" s="542"/>
      <c r="M4" s="542"/>
      <c r="N4" s="542"/>
      <c r="O4" s="110"/>
    </row>
    <row r="5" spans="1:17" ht="15.6" x14ac:dyDescent="0.35">
      <c r="A5" s="110"/>
      <c r="O5" s="110"/>
    </row>
    <row r="6" spans="1:17" ht="14.25" customHeight="1" x14ac:dyDescent="0.35">
      <c r="A6" s="110"/>
      <c r="B6" s="542" t="s">
        <v>66</v>
      </c>
      <c r="C6" s="542"/>
      <c r="D6" s="542"/>
      <c r="E6" s="542"/>
      <c r="F6" s="542"/>
      <c r="G6" s="542"/>
      <c r="H6" s="542"/>
      <c r="I6" s="542"/>
      <c r="J6" s="542"/>
      <c r="K6" s="542"/>
      <c r="L6" s="542"/>
      <c r="M6" s="542"/>
      <c r="N6" s="542"/>
      <c r="O6" s="110"/>
    </row>
    <row r="7" spans="1:17" ht="15.6" x14ac:dyDescent="0.35">
      <c r="A7" s="110"/>
      <c r="B7" s="619" t="str">
        <f>'SKP JF (KUANTITATIF)'!B6&amp;""</f>
        <v>DINAS PENDIDIKAN  KAB. LAMPUNG UTARA</v>
      </c>
      <c r="C7" s="619"/>
      <c r="D7" s="619"/>
      <c r="E7" s="619"/>
      <c r="F7" s="619"/>
      <c r="G7" s="619"/>
      <c r="H7" s="620" t="s">
        <v>54</v>
      </c>
      <c r="I7" s="620"/>
      <c r="J7" s="620"/>
      <c r="K7" s="431" t="str">
        <f>'SKP JF (KUANTITATIF)'!H6&amp;""</f>
        <v>01 JANUARI 2022 S.D 31 DESEMBER 2022</v>
      </c>
      <c r="L7" s="65"/>
      <c r="M7" s="65"/>
      <c r="N7" s="65"/>
      <c r="O7" s="110"/>
    </row>
    <row r="8" spans="1:17" ht="15.6" x14ac:dyDescent="0.35">
      <c r="A8" s="110"/>
      <c r="B8" s="454" t="s">
        <v>11</v>
      </c>
      <c r="C8" s="612" t="s">
        <v>3</v>
      </c>
      <c r="D8" s="613"/>
      <c r="E8" s="613"/>
      <c r="F8" s="613"/>
      <c r="G8" s="614"/>
      <c r="H8" s="454" t="s">
        <v>11</v>
      </c>
      <c r="I8" s="615" t="s">
        <v>4</v>
      </c>
      <c r="J8" s="616"/>
      <c r="K8" s="616"/>
      <c r="L8" s="616"/>
      <c r="M8" s="616"/>
      <c r="N8" s="617"/>
      <c r="O8" s="110"/>
    </row>
    <row r="9" spans="1:17" ht="15.6" x14ac:dyDescent="0.35">
      <c r="A9" s="110"/>
      <c r="B9" s="75">
        <v>1</v>
      </c>
      <c r="C9" s="555" t="s">
        <v>5</v>
      </c>
      <c r="D9" s="556"/>
      <c r="E9" s="553" t="str">
        <f>'SKP JF (KUANTITATIF)'!D8&amp;""</f>
        <v>RUSLAN, S.Pd</v>
      </c>
      <c r="F9" s="618"/>
      <c r="G9" s="554"/>
      <c r="H9" s="104">
        <v>1</v>
      </c>
      <c r="I9" s="555" t="s">
        <v>5</v>
      </c>
      <c r="J9" s="577"/>
      <c r="K9" s="556"/>
      <c r="L9" s="553" t="str">
        <f>IF(A1="A",'00 DATA'!F12,IF(A1="B",'00 DATA'!N20,""))</f>
        <v>TUTI ROSPASARI, S.Pd. M.Pd.</v>
      </c>
      <c r="M9" s="618"/>
      <c r="N9" s="554"/>
      <c r="O9" s="110"/>
    </row>
    <row r="10" spans="1:17" ht="15.75" customHeight="1" x14ac:dyDescent="0.35">
      <c r="A10" s="110"/>
      <c r="B10" s="75">
        <v>2</v>
      </c>
      <c r="C10" s="555" t="s">
        <v>6</v>
      </c>
      <c r="D10" s="556"/>
      <c r="E10" s="555" t="str">
        <f>'SKP JF (KUANTITATIF)'!D9&amp;""</f>
        <v>19660625 199112 1 001</v>
      </c>
      <c r="F10" s="577"/>
      <c r="G10" s="556"/>
      <c r="H10" s="104">
        <v>2</v>
      </c>
      <c r="I10" s="555" t="s">
        <v>6</v>
      </c>
      <c r="J10" s="577"/>
      <c r="K10" s="556"/>
      <c r="L10" s="555" t="str">
        <f>IF(A1="A",'00 DATA'!F13,IF(A1="B",'00 DATA'!N21,""))</f>
        <v>19721025 199802 2 003</v>
      </c>
      <c r="M10" s="577"/>
      <c r="N10" s="556"/>
      <c r="O10" s="110"/>
    </row>
    <row r="11" spans="1:17" ht="15.75" customHeight="1" x14ac:dyDescent="0.35">
      <c r="A11" s="110"/>
      <c r="B11" s="75">
        <v>3</v>
      </c>
      <c r="C11" s="555" t="s">
        <v>7</v>
      </c>
      <c r="D11" s="556"/>
      <c r="E11" s="555" t="str">
        <f>'SKP JF (KUANTITATIF)'!D10&amp;""</f>
        <v xml:space="preserve">PEMBINA TK.I/ IV.b </v>
      </c>
      <c r="F11" s="577"/>
      <c r="G11" s="556"/>
      <c r="H11" s="104">
        <v>3</v>
      </c>
      <c r="I11" s="555" t="s">
        <v>236</v>
      </c>
      <c r="J11" s="577"/>
      <c r="K11" s="556"/>
      <c r="L11" s="555" t="str">
        <f>IF(A1="A",'00 DATA'!F14,IF(A1="B",'00 DATA'!N22,""))</f>
        <v xml:space="preserve">PEMBINA TK.I (IV/b) </v>
      </c>
      <c r="M11" s="577"/>
      <c r="N11" s="556"/>
      <c r="O11" s="110"/>
    </row>
    <row r="12" spans="1:17" ht="15.75" customHeight="1" x14ac:dyDescent="0.35">
      <c r="A12" s="110"/>
      <c r="B12" s="75">
        <v>4</v>
      </c>
      <c r="C12" s="555" t="s">
        <v>8</v>
      </c>
      <c r="D12" s="556"/>
      <c r="E12" s="555" t="str">
        <f>'SKP JF (KUANTITATIF)'!D11&amp;""</f>
        <v>KEPALA SEKOLAH</v>
      </c>
      <c r="F12" s="577"/>
      <c r="G12" s="556"/>
      <c r="H12" s="104">
        <v>4</v>
      </c>
      <c r="I12" s="555" t="s">
        <v>8</v>
      </c>
      <c r="J12" s="577"/>
      <c r="K12" s="556"/>
      <c r="L12" s="555" t="str">
        <f>IF(A1="A",'00 DATA'!F15,IF(A1="B",'00 DATA'!N23,""))</f>
        <v>SEKRETARIS DINAS</v>
      </c>
      <c r="M12" s="577"/>
      <c r="N12" s="556"/>
      <c r="O12" s="110"/>
    </row>
    <row r="13" spans="1:17" ht="30.75" customHeight="1" x14ac:dyDescent="0.35">
      <c r="A13" s="110"/>
      <c r="B13" s="75">
        <v>5</v>
      </c>
      <c r="C13" s="555" t="s">
        <v>9</v>
      </c>
      <c r="D13" s="556"/>
      <c r="E13" s="555" t="str">
        <f>'SKP JF (KUANTITATIF)'!D12&amp;""</f>
        <v>UPTD SDN 1 KOTABUMI TENGAH KAB. LAMPUNG UTARA</v>
      </c>
      <c r="F13" s="577"/>
      <c r="G13" s="556"/>
      <c r="H13" s="104">
        <v>5</v>
      </c>
      <c r="I13" s="555" t="s">
        <v>237</v>
      </c>
      <c r="J13" s="577"/>
      <c r="K13" s="556"/>
      <c r="L13" s="555" t="str">
        <f>IF(A1="A",'00 DATA'!F16&amp;" "&amp;'00 DATA'!D17&amp;" "&amp;'00 DATA'!F17&amp;"",IF(A1="B",'00 DATA'!N24&amp;" "&amp;'00 DATA'!L25&amp;" "&amp;'00 DATA'!N25,""))</f>
        <v>DINAS PENDIDIKAN  KAB. LAMPUNG UTARA</v>
      </c>
      <c r="M13" s="577"/>
      <c r="N13" s="556"/>
      <c r="O13" s="110"/>
    </row>
    <row r="14" spans="1:17" ht="15.6" x14ac:dyDescent="0.35">
      <c r="A14" s="110"/>
      <c r="B14" s="621" t="s">
        <v>67</v>
      </c>
      <c r="C14" s="621"/>
      <c r="D14" s="621"/>
      <c r="E14" s="621"/>
      <c r="F14" s="621"/>
      <c r="G14" s="621"/>
      <c r="H14" s="621"/>
      <c r="I14" s="621"/>
      <c r="J14" s="621"/>
      <c r="K14" s="621"/>
      <c r="L14" s="621"/>
      <c r="M14" s="621"/>
      <c r="N14" s="621"/>
      <c r="O14" s="110"/>
    </row>
    <row r="15" spans="1:17" ht="15.6" x14ac:dyDescent="0.35">
      <c r="A15" s="110"/>
      <c r="B15" s="621" t="str">
        <f>'EVALUASI KINERJA KUANTI JF'!B15&amp;""</f>
        <v>BAIK</v>
      </c>
      <c r="C15" s="621"/>
      <c r="D15" s="621"/>
      <c r="E15" s="621"/>
      <c r="F15" s="621"/>
      <c r="G15" s="621"/>
      <c r="H15" s="621"/>
      <c r="I15" s="621"/>
      <c r="J15" s="621"/>
      <c r="K15" s="621"/>
      <c r="L15" s="621"/>
      <c r="M15" s="621"/>
      <c r="N15" s="621"/>
      <c r="O15" s="110"/>
      <c r="P15" s="116"/>
      <c r="Q15" s="117"/>
    </row>
    <row r="16" spans="1:17" ht="15.6" x14ac:dyDescent="0.35">
      <c r="A16" s="110"/>
      <c r="B16" s="621" t="s">
        <v>68</v>
      </c>
      <c r="C16" s="621"/>
      <c r="D16" s="621"/>
      <c r="E16" s="621"/>
      <c r="F16" s="621"/>
      <c r="G16" s="621"/>
      <c r="H16" s="621"/>
      <c r="I16" s="621"/>
      <c r="J16" s="621"/>
      <c r="K16" s="621"/>
      <c r="L16" s="621"/>
      <c r="M16" s="621"/>
      <c r="N16" s="621"/>
      <c r="O16" s="110"/>
    </row>
    <row r="17" spans="1:22" ht="186" customHeight="1" x14ac:dyDescent="0.35">
      <c r="A17" s="110"/>
      <c r="B17" s="622"/>
      <c r="C17" s="622"/>
      <c r="D17" s="622"/>
      <c r="E17" s="622"/>
      <c r="F17" s="622"/>
      <c r="G17" s="622"/>
      <c r="H17" s="622"/>
      <c r="I17" s="622"/>
      <c r="J17" s="622"/>
      <c r="K17" s="622"/>
      <c r="L17" s="622"/>
      <c r="M17" s="622"/>
      <c r="N17" s="622"/>
      <c r="O17" s="110"/>
    </row>
    <row r="18" spans="1:22" ht="15.6" x14ac:dyDescent="0.35">
      <c r="A18" s="110"/>
      <c r="B18" s="623" t="s">
        <v>10</v>
      </c>
      <c r="C18" s="624"/>
      <c r="D18" s="624"/>
      <c r="E18" s="624"/>
      <c r="F18" s="624"/>
      <c r="G18" s="624"/>
      <c r="H18" s="624"/>
      <c r="I18" s="624"/>
      <c r="J18" s="624"/>
      <c r="K18" s="624"/>
      <c r="L18" s="624"/>
      <c r="M18" s="624"/>
      <c r="N18" s="625"/>
      <c r="O18" s="110"/>
    </row>
    <row r="19" spans="1:22" s="105" customFormat="1" ht="45" customHeight="1" x14ac:dyDescent="0.35">
      <c r="A19" s="112"/>
      <c r="B19" s="310" t="s">
        <v>11</v>
      </c>
      <c r="C19" s="310" t="s">
        <v>69</v>
      </c>
      <c r="D19" s="569" t="s">
        <v>13</v>
      </c>
      <c r="E19" s="571"/>
      <c r="F19" s="380" t="s">
        <v>14</v>
      </c>
      <c r="G19" s="569" t="s">
        <v>15</v>
      </c>
      <c r="H19" s="571"/>
      <c r="I19" s="375"/>
      <c r="J19" s="377" t="s">
        <v>16</v>
      </c>
      <c r="K19" s="569" t="s">
        <v>70</v>
      </c>
      <c r="L19" s="571"/>
      <c r="M19" s="569" t="s">
        <v>71</v>
      </c>
      <c r="N19" s="626"/>
      <c r="O19" s="112"/>
    </row>
    <row r="20" spans="1:22" s="105" customFormat="1" ht="15.6" x14ac:dyDescent="0.35">
      <c r="A20" s="112"/>
      <c r="B20" s="124" t="s">
        <v>17</v>
      </c>
      <c r="C20" s="287" t="s">
        <v>18</v>
      </c>
      <c r="D20" s="627" t="s">
        <v>19</v>
      </c>
      <c r="E20" s="628"/>
      <c r="F20" s="237" t="s">
        <v>20</v>
      </c>
      <c r="G20" s="627" t="s">
        <v>21</v>
      </c>
      <c r="H20" s="629"/>
      <c r="I20" s="125"/>
      <c r="J20" s="288" t="s">
        <v>22</v>
      </c>
      <c r="K20" s="627" t="s">
        <v>72</v>
      </c>
      <c r="L20" s="629"/>
      <c r="M20" s="125"/>
      <c r="N20" s="289" t="s">
        <v>263</v>
      </c>
      <c r="O20" s="112"/>
    </row>
    <row r="21" spans="1:22" ht="15.6" x14ac:dyDescent="0.35">
      <c r="A21" s="110"/>
      <c r="B21" s="630" t="s">
        <v>23</v>
      </c>
      <c r="C21" s="631"/>
      <c r="D21" s="631"/>
      <c r="E21" s="631"/>
      <c r="F21" s="631"/>
      <c r="G21" s="631"/>
      <c r="H21" s="631"/>
      <c r="I21" s="631"/>
      <c r="J21" s="631"/>
      <c r="K21" s="631"/>
      <c r="L21" s="631"/>
      <c r="M21" s="631"/>
      <c r="N21" s="632"/>
      <c r="O21" s="110"/>
      <c r="S21" s="69" t="s">
        <v>273</v>
      </c>
      <c r="T21" s="69" t="s">
        <v>274</v>
      </c>
      <c r="U21" s="69" t="s">
        <v>276</v>
      </c>
      <c r="V21" s="69" t="s">
        <v>277</v>
      </c>
    </row>
    <row r="22" spans="1:22" s="106" customFormat="1" ht="48" customHeight="1" x14ac:dyDescent="0.25">
      <c r="A22" s="113"/>
      <c r="B22" s="633" t="str">
        <f>'SKP JF (KUANTITATIF)'!B17&amp;""</f>
        <v>1</v>
      </c>
      <c r="C22" s="636" t="str">
        <f>'SKP JF (KUANTITATIF)'!C17&amp;""</f>
        <v>Meningkatnya aksesibilitas dan kualitas Pendidikan Dasar Dinas Pendidikan Kab. Lampung Utara</v>
      </c>
      <c r="D22" s="637" t="str">
        <f>'SKP JF (KUANTITATIF)'!D17&amp;""</f>
        <v>Dokumen Program Kerja Sekolah dalam bidang Manajerial, Kewirausahaan, Supervisi Guru dan Tendik dalam penyelenggaraan dan atau pengelolaan Sekolah.</v>
      </c>
      <c r="E22" s="638"/>
      <c r="F22" s="267" t="str">
        <f>'SKP JF (KUANTITATIF)'!G17&amp;""</f>
        <v>Kuantitas</v>
      </c>
      <c r="G22" s="643" t="str">
        <f>'SKP JF (KUANTITATIF)'!H17&amp;""</f>
        <v>Jumlah Dokumen Program</v>
      </c>
      <c r="H22" s="644"/>
      <c r="I22" s="286" t="str">
        <f>'SKP JF (KUANTITATIF)'!J17&amp;""</f>
        <v>2</v>
      </c>
      <c r="J22" s="269" t="str">
        <f>'SKP JF (KUANTITATIF)'!K17&amp;""</f>
        <v>Dokumen</v>
      </c>
      <c r="K22" s="273" t="str">
        <f>'EVALUASI KINERJA KUANTI JF'!K22&amp;""</f>
        <v>2</v>
      </c>
      <c r="L22" s="271" t="str">
        <f>'EVALUASI KINERJA KUANTI JF'!L22&amp;""</f>
        <v>berdasarkan penilaian pimpinan</v>
      </c>
      <c r="M22" s="228" t="str">
        <f>IF(Q22="Sangat Baik","C",IF(Q22="Baik","J",IF(Q22="Cukup","K",IF(Q22="Kurang","L",""))))</f>
        <v>C</v>
      </c>
      <c r="N22" s="274" t="str">
        <f>IF(K22="","",IF(Q22="Sangat Baik","Bagus, sudah amat baik, pertahankan.",IF(Q22="Baik","Bagus, sudah baik, dapat lebih ditingkatkan.",IF(Q22="Cukup","Cukup baik, ada baiknya perlu sekali ditingkatkan.",IF(Q22="Kurang","Kurang, sangat perlu perbaikan secara menyeluruh.","")))))</f>
        <v>Bagus, sudah amat baik, pertahankan.</v>
      </c>
      <c r="O22" s="113"/>
      <c r="P22" s="109">
        <f t="shared" ref="P22:P36" si="0">(K22/I22)*100</f>
        <v>100</v>
      </c>
      <c r="Q22" s="105" t="str">
        <f>IF(P22&lt;=50,("Buruk"),IF(P22&lt;=60,("Kurang"),IF(P22&lt;=75,("Cukup"),IF(P22&lt;=90,("Baik"),("Sangat Baik")))))</f>
        <v>Sangat Baik</v>
      </c>
      <c r="S22" s="224" t="s">
        <v>235</v>
      </c>
      <c r="T22" s="223" t="s">
        <v>239</v>
      </c>
      <c r="U22" s="225" t="s">
        <v>240</v>
      </c>
      <c r="V22" s="226" t="s">
        <v>238</v>
      </c>
    </row>
    <row r="23" spans="1:22" s="106" customFormat="1" ht="53.25" customHeight="1" x14ac:dyDescent="0.25">
      <c r="A23" s="113"/>
      <c r="B23" s="634"/>
      <c r="C23" s="581"/>
      <c r="D23" s="639"/>
      <c r="E23" s="640"/>
      <c r="F23" s="267" t="str">
        <f>'SKP JF (KUANTITATIF)'!G18&amp;""</f>
        <v>Kualitas</v>
      </c>
      <c r="G23" s="643" t="str">
        <f>'SKP JF (KUANTITATIF)'!H18&amp;""</f>
        <v>Program Pengawasan dan Program Bimlat Guru / Kepala Sekolah.</v>
      </c>
      <c r="H23" s="644"/>
      <c r="I23" s="268">
        <f>'SKP JF (KUANTITATIF)'!J18</f>
        <v>0.95</v>
      </c>
      <c r="J23" s="269" t="str">
        <f>'SKP JF (KUANTITATIF)'!K18&amp;""</f>
        <v>(Persen)</v>
      </c>
      <c r="K23" s="270">
        <f>'EVALUASI KINERJA KUANTI JF'!K23</f>
        <v>0.9</v>
      </c>
      <c r="L23" s="271" t="str">
        <f>IF(K23&gt;=1%,"berdasarkan penilaian pimpinan","")</f>
        <v>berdasarkan penilaian pimpinan</v>
      </c>
      <c r="M23" s="228" t="str">
        <f t="shared" ref="M23:M43" si="1">IF(Q23="Sangat Baik","C",IF(Q23="Baik","J",IF(Q23="Cukup","K",IF(Q23="Kurang","L",""))))</f>
        <v>C</v>
      </c>
      <c r="N23" s="274" t="str">
        <f>IF(K23="","",IF(Q23="Sangat Baik","Bagus, sudah amat baik, pertahankan.",IF(Q23="Baik","Bagus, sudah baik, dapat lebih ditingkatkan.",IF(Q23="Cukup","Cukup baik, ada baiknya perlu sekali ditingkatkan.",IF(Q23="Kurang","Kurang, sangat perlu perbaikan secara menyeluruh.","")))))</f>
        <v>Bagus, sudah amat baik, pertahankan.</v>
      </c>
      <c r="O23" s="113"/>
      <c r="P23" s="109">
        <f t="shared" si="0"/>
        <v>94.736842105263165</v>
      </c>
      <c r="Q23" s="105" t="str">
        <f t="shared" ref="Q23:Q36" si="2">IF(P23&lt;=50,("Buruk"),IF(P23&lt;=60,("Kurang"),IF(P23&lt;=75,("Cukup"),IF(P23&lt;=90,("Baik"),("Sangat Baik")))))</f>
        <v>Sangat Baik</v>
      </c>
      <c r="S23" s="227" t="s">
        <v>64</v>
      </c>
      <c r="T23" s="227" t="s">
        <v>58</v>
      </c>
      <c r="U23" s="227" t="s">
        <v>241</v>
      </c>
      <c r="V23" s="227" t="s">
        <v>242</v>
      </c>
    </row>
    <row r="24" spans="1:22" s="106" customFormat="1" ht="60" customHeight="1" x14ac:dyDescent="0.25">
      <c r="A24" s="113"/>
      <c r="B24" s="635"/>
      <c r="C24" s="582"/>
      <c r="D24" s="641"/>
      <c r="E24" s="642"/>
      <c r="F24" s="267" t="str">
        <f>'SKP JF (KUANTITATIF)'!G19&amp;""</f>
        <v>Waktu</v>
      </c>
      <c r="G24" s="643" t="str">
        <f>'SKP JF (KUANTITATIF)'!H19&amp;""</f>
        <v>Ketepatan waktu pelaksanaan kegiatan.</v>
      </c>
      <c r="H24" s="644"/>
      <c r="I24" s="272">
        <f>'SKP JF (KUANTITATIF)'!J19</f>
        <v>1</v>
      </c>
      <c r="J24" s="269" t="str">
        <f>'SKP JF (KUANTITATIF)'!K19&amp;""</f>
        <v>Bulan</v>
      </c>
      <c r="K24" s="273" t="str">
        <f>'EVALUASI KINERJA KUANTI JF'!K24&amp;""</f>
        <v>1</v>
      </c>
      <c r="L24" s="271" t="str">
        <f>'EVALUASI KINERJA KUANTI JF'!L24&amp;""</f>
        <v>bulan berdasarkan waktu kegiatan</v>
      </c>
      <c r="M24" s="228" t="str">
        <f t="shared" si="1"/>
        <v>C</v>
      </c>
      <c r="N24" s="274" t="str">
        <f>IF(K24="","",IF(Q24="Sangat Baik","Bagus, sudah amat baik, pertahankan.",IF(Q24="Baik","Bagus, sudah baik, dapat lebih ditingkatkan.",IF(Q24="Cukup","Cukup baik, ada baiknya perlu sekali ditingkatkan.",IF(Q24="Kurang","Kurang, sangat perlu perbaikan secara menyeluruh.","")))))</f>
        <v>Bagus, sudah amat baik, pertahankan.</v>
      </c>
      <c r="O24" s="113"/>
      <c r="P24" s="109">
        <f t="shared" si="0"/>
        <v>100</v>
      </c>
      <c r="Q24" s="105" t="str">
        <f t="shared" si="2"/>
        <v>Sangat Baik</v>
      </c>
      <c r="S24" s="69"/>
      <c r="T24" s="227" t="s">
        <v>275</v>
      </c>
      <c r="U24" s="318">
        <v>91</v>
      </c>
      <c r="V24" s="227" t="str">
        <f>IF(U24&lt;=50,("Buruk"),IF(U24&lt;=60,("Kurang"),IF(U24&lt;=75,("Cukup"),IF(U24&lt;=90,("Baik"),("Sangat Baik")))))</f>
        <v>Sangat Baik</v>
      </c>
    </row>
    <row r="25" spans="1:22" s="106" customFormat="1" ht="45.75" customHeight="1" x14ac:dyDescent="0.25">
      <c r="A25" s="113"/>
      <c r="B25" s="645" t="str">
        <f>'SKP JF (KUANTITATIF)'!B20&amp;""</f>
        <v>2</v>
      </c>
      <c r="C25" s="561" t="str">
        <f>'SKP JF (KUANTITATIF)'!C20&amp;""</f>
        <v>Meningkatnya aksesibilitas dan kualitas Pendidikan Dasar Dinas Pendidikan Kab. Lampung Utara</v>
      </c>
      <c r="D25" s="643" t="str">
        <f>'SKP JF (KUANTITATIF)'!D20&amp;""</f>
        <v>Laporan pelaksanaan tugas pokok kepala sekolah (Manajerial, Kewirausahaan, Supervisi Guru dan Tendik) dalam penyelenggaraan dan atau pengelolaan Sekolah.</v>
      </c>
      <c r="E25" s="644"/>
      <c r="F25" s="267" t="str">
        <f>'SKP JF (KUANTITATIF)'!G20&amp;""</f>
        <v>Kuantitas</v>
      </c>
      <c r="G25" s="643" t="str">
        <f>'SKP JF (KUANTITATIF)'!H20&amp;""</f>
        <v>Jumlah Laporan Pengawasan</v>
      </c>
      <c r="H25" s="644"/>
      <c r="I25" s="286">
        <f>'SKP JF (KUANTITATIF)'!J20</f>
        <v>1</v>
      </c>
      <c r="J25" s="269" t="str">
        <f>'SKP JF (KUANTITATIF)'!K20&amp;""</f>
        <v>Laporan</v>
      </c>
      <c r="K25" s="273" t="str">
        <f>'EVALUASI KINERJA KUANTI JF'!K25&amp;""</f>
        <v>1</v>
      </c>
      <c r="L25" s="271" t="str">
        <f>'EVALUASI KINERJA KUANTI JF'!L25&amp;""</f>
        <v>berdasarkan penilaian pimpinan</v>
      </c>
      <c r="M25" s="228" t="str">
        <f t="shared" si="1"/>
        <v>C</v>
      </c>
      <c r="N25" s="274" t="str">
        <f>IF(K25="","",IF(Q25="Sangat Baik","Bagus, sudah amat baik, pertahankan.",IF(Q25="Baik","Bagus, sudah baik, dapat lebih ditingkatkan.",IF(Q25="Cukup","Cukup baik, ada baiknya perlu sekali ditingkatkan.",IF(Q25="Kurang","Kurang, sangat perlu perbaikan secara menyeluruh.","")))))</f>
        <v>Bagus, sudah amat baik, pertahankan.</v>
      </c>
      <c r="O25" s="113"/>
      <c r="P25" s="109">
        <f t="shared" si="0"/>
        <v>100</v>
      </c>
      <c r="Q25" s="105" t="str">
        <f t="shared" si="2"/>
        <v>Sangat Baik</v>
      </c>
      <c r="R25" s="69"/>
      <c r="S25" s="69"/>
      <c r="T25" s="69"/>
      <c r="U25" s="69"/>
    </row>
    <row r="26" spans="1:22" s="106" customFormat="1" ht="50.25" customHeight="1" x14ac:dyDescent="0.25">
      <c r="A26" s="113"/>
      <c r="B26" s="645"/>
      <c r="C26" s="584"/>
      <c r="D26" s="643"/>
      <c r="E26" s="644"/>
      <c r="F26" s="267" t="str">
        <f>'SKP JF (KUANTITATIF)'!G21&amp;""</f>
        <v>Kualitas</v>
      </c>
      <c r="G26" s="643" t="str">
        <f>'SKP JF (KUANTITATIF)'!H21&amp;""</f>
        <v>Materi Pengawasan, instrumen, daftar hadir, suket kegiatan dari KS.</v>
      </c>
      <c r="H26" s="644"/>
      <c r="I26" s="268">
        <f>'SKP JF (KUANTITATIF)'!J21</f>
        <v>0.95</v>
      </c>
      <c r="J26" s="269" t="str">
        <f>'SKP JF (KUANTITATIF)'!K21&amp;""</f>
        <v>(Persen)</v>
      </c>
      <c r="K26" s="270">
        <f>'EVALUASI KINERJA KUANTI JF'!K26</f>
        <v>0.9</v>
      </c>
      <c r="L26" s="271" t="str">
        <f>IF(K26&gt;=1%,"berdasarkan penilaian pimpinan","")</f>
        <v>berdasarkan penilaian pimpinan</v>
      </c>
      <c r="M26" s="228" t="str">
        <f t="shared" si="1"/>
        <v>C</v>
      </c>
      <c r="N26" s="274" t="str">
        <f>IF(K26="","",IF(Q26="Sangat Baik","Bagus, sudah amat baik, pertahankan.",IF(Q26="Baik","Bagus, sudah baik, dapat lebih ditingkatkan.",IF(Q26="Cukup","Cukup baik, ada baiknya perlu sekali ditingkatkan.",IF(Q26="Kurang","Kurang, sangat perlu perbaikan secara menyeluruh.","")))))</f>
        <v>Bagus, sudah amat baik, pertahankan.</v>
      </c>
      <c r="O26" s="113"/>
      <c r="P26" s="109">
        <f t="shared" si="0"/>
        <v>94.736842105263165</v>
      </c>
      <c r="Q26" s="105" t="str">
        <f t="shared" si="2"/>
        <v>Sangat Baik</v>
      </c>
      <c r="R26" s="69"/>
      <c r="S26" s="69"/>
      <c r="T26" s="69"/>
      <c r="U26" s="69"/>
    </row>
    <row r="27" spans="1:22" s="106" customFormat="1" ht="46.5" customHeight="1" x14ac:dyDescent="0.25">
      <c r="A27" s="113"/>
      <c r="B27" s="645"/>
      <c r="C27" s="584"/>
      <c r="D27" s="643"/>
      <c r="E27" s="644"/>
      <c r="F27" s="267" t="str">
        <f>'SKP JF (KUANTITATIF)'!G22&amp;""</f>
        <v>Waktu</v>
      </c>
      <c r="G27" s="643" t="str">
        <f>'SKP JF (KUANTITATIF)'!H22&amp;""</f>
        <v>Ketepatan waktu pelaksanaan kegiatan.</v>
      </c>
      <c r="H27" s="644"/>
      <c r="I27" s="272">
        <f>'SKP JF (KUANTITATIF)'!J22</f>
        <v>12</v>
      </c>
      <c r="J27" s="269" t="str">
        <f>'SKP JF (KUANTITATIF)'!K22&amp;""</f>
        <v>Bulan</v>
      </c>
      <c r="K27" s="273" t="str">
        <f>'EVALUASI KINERJA KUANTI JF'!K27&amp;""</f>
        <v>12</v>
      </c>
      <c r="L27" s="271" t="str">
        <f>'EVALUASI KINERJA KUANTI JF'!L27&amp;""</f>
        <v>bulan berdasarkan waktu kegiatan</v>
      </c>
      <c r="M27" s="228" t="str">
        <f t="shared" si="1"/>
        <v>C</v>
      </c>
      <c r="N27" s="274" t="str">
        <f t="shared" ref="N27:N36" si="3">IF(K27="","",IF(Q27="Sangat Baik","Bagus, sudah amat baik, pertahankan.",IF(Q27="Baik","Bagus, sudah baik, dapat lebih ditingkatkan.",IF(Q27="Cukup","Cukup baik, ada baiknya perlu sekali ditingkatkan.",IF(Q27="Kurang","Kurang, sangat perlu perbaikan secara menyeluruh.","")))))</f>
        <v>Bagus, sudah amat baik, pertahankan.</v>
      </c>
      <c r="O27" s="113"/>
      <c r="P27" s="109">
        <f t="shared" si="0"/>
        <v>100</v>
      </c>
      <c r="Q27" s="105" t="str">
        <f t="shared" si="2"/>
        <v>Sangat Baik</v>
      </c>
      <c r="R27" s="69"/>
      <c r="S27" s="69"/>
      <c r="T27" s="69"/>
      <c r="U27" s="69"/>
    </row>
    <row r="28" spans="1:22" s="106" customFormat="1" ht="49.5" customHeight="1" x14ac:dyDescent="0.25">
      <c r="A28" s="113"/>
      <c r="B28" s="645" t="str">
        <f>'SKP JF (KUANTITATIF)'!B23&amp;""</f>
        <v>3</v>
      </c>
      <c r="C28" s="561" t="str">
        <f>'SKP JF (KUANTITATIF)'!C23&amp;""</f>
        <v>Laporan Pelaksanaan kegiatan Program Peningkatan aksesibilitas dan kualitas pendidikan Dinas Pendidikan Kab. Lampung Utara</v>
      </c>
      <c r="D28" s="643" t="str">
        <f>'SKP JF (KUANTITATIF)'!D23&amp;""</f>
        <v>Laporan Evaluasi dan ketercapaian program kerja pelaksanaan tugas pokok kepala sekolah (Manajerial, Kewirausahaan, Supervisi) dalam bentuk EDS dan atau Analisis Hasil Rapor Pendidikan (PBD).</v>
      </c>
      <c r="E28" s="644"/>
      <c r="F28" s="267" t="str">
        <f>'SKP JF (KUANTITATIF)'!G23&amp;""</f>
        <v>Kuantitas</v>
      </c>
      <c r="G28" s="643" t="str">
        <f>'SKP JF (KUANTITATIF)'!H23&amp;""</f>
        <v>Jumlah Laporan Bimlat Guru dan KS.</v>
      </c>
      <c r="H28" s="644"/>
      <c r="I28" s="286">
        <f>'SKP JF (KUANTITATIF)'!J23</f>
        <v>1</v>
      </c>
      <c r="J28" s="269" t="str">
        <f>'SKP JF (KUANTITATIF)'!K23&amp;""</f>
        <v>Laporan</v>
      </c>
      <c r="K28" s="273" t="str">
        <f>'EVALUASI KINERJA KUANTI JF'!K28&amp;""</f>
        <v>1</v>
      </c>
      <c r="L28" s="271" t="str">
        <f>'EVALUASI KINERJA KUANTI JF'!L28&amp;""</f>
        <v>berdasarkan penilaian pimpinan</v>
      </c>
      <c r="M28" s="228" t="str">
        <f t="shared" si="1"/>
        <v>C</v>
      </c>
      <c r="N28" s="274" t="str">
        <f t="shared" si="3"/>
        <v>Bagus, sudah amat baik, pertahankan.</v>
      </c>
      <c r="O28" s="113"/>
      <c r="P28" s="109">
        <f t="shared" si="0"/>
        <v>100</v>
      </c>
      <c r="Q28" s="105" t="str">
        <f t="shared" si="2"/>
        <v>Sangat Baik</v>
      </c>
      <c r="R28" s="69"/>
      <c r="S28" s="69"/>
      <c r="T28" s="69"/>
      <c r="U28" s="69"/>
    </row>
    <row r="29" spans="1:22" s="106" customFormat="1" ht="53.25" customHeight="1" x14ac:dyDescent="0.25">
      <c r="A29" s="113"/>
      <c r="B29" s="645"/>
      <c r="C29" s="584"/>
      <c r="D29" s="643"/>
      <c r="E29" s="644"/>
      <c r="F29" s="267" t="str">
        <f>'SKP JF (KUANTITATIF)'!G24&amp;""</f>
        <v>Kualitas</v>
      </c>
      <c r="G29" s="643" t="str">
        <f>'SKP JF (KUANTITATIF)'!H24&amp;""</f>
        <v>Materi Instrumen Pengawasan sekolah, daftar hadir, suket dari KS.</v>
      </c>
      <c r="H29" s="644"/>
      <c r="I29" s="268">
        <f>'SKP JF (KUANTITATIF)'!J24</f>
        <v>0.95</v>
      </c>
      <c r="J29" s="269" t="str">
        <f>'SKP JF (KUANTITATIF)'!K24&amp;""</f>
        <v>(Persen)</v>
      </c>
      <c r="K29" s="270">
        <f>'EVALUASI KINERJA KUANTI JF'!K29</f>
        <v>0.9</v>
      </c>
      <c r="L29" s="271" t="str">
        <f>IF(K29&gt;=1%,"berdasarkan penilaian pimpinan","")</f>
        <v>berdasarkan penilaian pimpinan</v>
      </c>
      <c r="M29" s="228" t="str">
        <f t="shared" si="1"/>
        <v>C</v>
      </c>
      <c r="N29" s="274" t="str">
        <f t="shared" si="3"/>
        <v>Bagus, sudah amat baik, pertahankan.</v>
      </c>
      <c r="O29" s="113"/>
      <c r="P29" s="109">
        <f t="shared" si="0"/>
        <v>94.736842105263165</v>
      </c>
      <c r="Q29" s="105" t="str">
        <f t="shared" si="2"/>
        <v>Sangat Baik</v>
      </c>
      <c r="R29" s="69"/>
      <c r="S29" s="69"/>
      <c r="T29" s="69"/>
      <c r="U29" s="69"/>
    </row>
    <row r="30" spans="1:22" s="106" customFormat="1" ht="56.25" customHeight="1" x14ac:dyDescent="0.25">
      <c r="A30" s="113"/>
      <c r="B30" s="645"/>
      <c r="C30" s="584"/>
      <c r="D30" s="643"/>
      <c r="E30" s="644"/>
      <c r="F30" s="267" t="str">
        <f>'SKP JF (KUANTITATIF)'!G25&amp;""</f>
        <v>Waktu</v>
      </c>
      <c r="G30" s="643" t="str">
        <f>'SKP JF (KUANTITATIF)'!H25&amp;""</f>
        <v>Ketepatan waktu pelaksanaan kegiatan.</v>
      </c>
      <c r="H30" s="644"/>
      <c r="I30" s="272">
        <f>'SKP JF (KUANTITATIF)'!J25</f>
        <v>6</v>
      </c>
      <c r="J30" s="269" t="str">
        <f>'SKP JF (KUANTITATIF)'!K25&amp;""</f>
        <v>Bulan</v>
      </c>
      <c r="K30" s="273" t="str">
        <f>'EVALUASI KINERJA KUANTI JF'!K30&amp;""</f>
        <v>6</v>
      </c>
      <c r="L30" s="271" t="str">
        <f>'EVALUASI KINERJA KUANTI JF'!L30&amp;""</f>
        <v>bulan berdasarkan waktu kegiatan</v>
      </c>
      <c r="M30" s="228" t="str">
        <f t="shared" si="1"/>
        <v>C</v>
      </c>
      <c r="N30" s="274" t="str">
        <f t="shared" si="3"/>
        <v>Bagus, sudah amat baik, pertahankan.</v>
      </c>
      <c r="O30" s="113"/>
      <c r="P30" s="109">
        <f t="shared" si="0"/>
        <v>100</v>
      </c>
      <c r="Q30" s="105" t="str">
        <f t="shared" si="2"/>
        <v>Sangat Baik</v>
      </c>
      <c r="R30" s="69"/>
      <c r="S30" s="69"/>
      <c r="T30" s="69"/>
      <c r="U30" s="69"/>
    </row>
    <row r="31" spans="1:22" s="106" customFormat="1" ht="49.5" customHeight="1" x14ac:dyDescent="0.25">
      <c r="A31" s="113"/>
      <c r="B31" s="633" t="str">
        <f>'SKP JF (KUANTITATIF)'!B26&amp;""</f>
        <v>4</v>
      </c>
      <c r="C31" s="636" t="str">
        <f>'SKP JF (KUANTITATIF)'!C26&amp;""</f>
        <v>Laporan Evaluasi Hasil Program Peningkatan aksesibilitas dan kualitas sesuai peraturan yang berlaku secara efektif dan efisien.</v>
      </c>
      <c r="D31" s="637" t="str">
        <f>'SKP JF (KUANTITATIF)'!D26&amp;""</f>
        <v>Laporan Pengembangan Keprofesian Berkelanjutan Kepala Sekolah dalam bentuk Diklat fungsional kepala sekolah dan atau Karya Tulis Ilmiah Kepala Sekolah.</v>
      </c>
      <c r="E31" s="638"/>
      <c r="F31" s="267" t="str">
        <f>'SKP JF (KUANTITATIF)'!G26&amp;""</f>
        <v>Kuantitas</v>
      </c>
      <c r="G31" s="643" t="str">
        <f>'SKP JF (KUANTITATIF)'!H26&amp;""</f>
        <v>Jumlah Laporan Evaluasi Pengawasan</v>
      </c>
      <c r="H31" s="644"/>
      <c r="I31" s="286">
        <f>'SKP JF (KUANTITATIF)'!J26</f>
        <v>1</v>
      </c>
      <c r="J31" s="269" t="str">
        <f>'SKP JF (KUANTITATIF)'!K26&amp;""</f>
        <v>Laporan</v>
      </c>
      <c r="K31" s="273" t="str">
        <f>'EVALUASI KINERJA KUANTI JF'!K31&amp;""</f>
        <v>1</v>
      </c>
      <c r="L31" s="271" t="str">
        <f>'EVALUASI KINERJA KUANTI JF'!L31&amp;""</f>
        <v>berdasarkan penilaian pimpinan</v>
      </c>
      <c r="M31" s="228" t="str">
        <f t="shared" si="1"/>
        <v>C</v>
      </c>
      <c r="N31" s="274" t="str">
        <f t="shared" si="3"/>
        <v>Bagus, sudah amat baik, pertahankan.</v>
      </c>
      <c r="O31" s="113"/>
      <c r="P31" s="109">
        <f t="shared" si="0"/>
        <v>100</v>
      </c>
      <c r="Q31" s="105" t="str">
        <f t="shared" si="2"/>
        <v>Sangat Baik</v>
      </c>
      <c r="R31" s="69"/>
      <c r="S31" s="69"/>
      <c r="T31" s="69"/>
      <c r="U31" s="69"/>
    </row>
    <row r="32" spans="1:22" s="106" customFormat="1" ht="53.25" customHeight="1" x14ac:dyDescent="0.25">
      <c r="A32" s="113"/>
      <c r="B32" s="634"/>
      <c r="C32" s="581"/>
      <c r="D32" s="639"/>
      <c r="E32" s="640"/>
      <c r="F32" s="267" t="str">
        <f>'SKP JF (KUANTITATIF)'!G27&amp;""</f>
        <v>Kualitas</v>
      </c>
      <c r="G32" s="643" t="str">
        <f>'SKP JF (KUANTITATIF)'!H27&amp;""</f>
        <v>Instrumen Evaluasi Pengawasan, dafhad, suket kegiatan dari KS.</v>
      </c>
      <c r="H32" s="644"/>
      <c r="I32" s="268">
        <f>'SKP JF (KUANTITATIF)'!J27</f>
        <v>0.95</v>
      </c>
      <c r="J32" s="269" t="str">
        <f>'SKP JF (KUANTITATIF)'!K27&amp;""</f>
        <v>(Persen)</v>
      </c>
      <c r="K32" s="270">
        <f>'EVALUASI KINERJA KUANTI JF'!K32</f>
        <v>0.85</v>
      </c>
      <c r="L32" s="271" t="str">
        <f>IF(K32&gt;=1%,"berdasarkan penilaian pimpinan","")</f>
        <v>berdasarkan penilaian pimpinan</v>
      </c>
      <c r="M32" s="228" t="str">
        <f t="shared" si="1"/>
        <v>J</v>
      </c>
      <c r="N32" s="274" t="str">
        <f t="shared" si="3"/>
        <v>Bagus, sudah baik, dapat lebih ditingkatkan.</v>
      </c>
      <c r="O32" s="113"/>
      <c r="P32" s="109">
        <f t="shared" si="0"/>
        <v>89.473684210526315</v>
      </c>
      <c r="Q32" s="105" t="str">
        <f t="shared" si="2"/>
        <v>Baik</v>
      </c>
      <c r="R32" s="69"/>
      <c r="S32" s="69"/>
      <c r="T32" s="69"/>
      <c r="U32" s="69"/>
    </row>
    <row r="33" spans="1:23" s="106" customFormat="1" ht="56.25" customHeight="1" x14ac:dyDescent="0.25">
      <c r="A33" s="113"/>
      <c r="B33" s="635"/>
      <c r="C33" s="582"/>
      <c r="D33" s="641"/>
      <c r="E33" s="642"/>
      <c r="F33" s="267" t="str">
        <f>'SKP JF (KUANTITATIF)'!G28&amp;""</f>
        <v>Waktu</v>
      </c>
      <c r="G33" s="643" t="str">
        <f>'SKP JF (KUANTITATIF)'!H28&amp;""</f>
        <v>Ketepatan waktu pelaksanaan kegiatan.</v>
      </c>
      <c r="H33" s="644"/>
      <c r="I33" s="272">
        <f>'SKP JF (KUANTITATIF)'!J28</f>
        <v>2</v>
      </c>
      <c r="J33" s="269" t="str">
        <f>'SKP JF (KUANTITATIF)'!K28&amp;""</f>
        <v>Bulan</v>
      </c>
      <c r="K33" s="273" t="str">
        <f>'EVALUASI KINERJA KUANTI JF'!K33&amp;""</f>
        <v>2</v>
      </c>
      <c r="L33" s="271" t="str">
        <f>'EVALUASI KINERJA KUANTI JF'!L33&amp;""</f>
        <v>bulan berdasarkan waktu kegiatan</v>
      </c>
      <c r="M33" s="228" t="str">
        <f t="shared" si="1"/>
        <v>C</v>
      </c>
      <c r="N33" s="274" t="str">
        <f t="shared" si="3"/>
        <v>Bagus, sudah amat baik, pertahankan.</v>
      </c>
      <c r="O33" s="113"/>
      <c r="P33" s="109">
        <f t="shared" si="0"/>
        <v>100</v>
      </c>
      <c r="Q33" s="105" t="str">
        <f t="shared" si="2"/>
        <v>Sangat Baik</v>
      </c>
      <c r="R33" s="69"/>
      <c r="S33" s="69"/>
      <c r="T33" s="69"/>
      <c r="U33" s="69"/>
    </row>
    <row r="34" spans="1:23" s="106" customFormat="1" ht="54" customHeight="1" x14ac:dyDescent="0.25">
      <c r="A34" s="113"/>
      <c r="B34" s="633" t="str">
        <f>'SKP JF (KUANTITATIF)'!B29&amp;""</f>
        <v>5</v>
      </c>
      <c r="C34" s="636" t="str">
        <f>'SKP JF (KUANTITATIF)'!C29&amp;""</f>
        <v>Dokumen kegiatan peningkatan kompetensi dan pengembangan karir ASN di lingkungan Dinas Pendidikan Kab. Lampung Utara</v>
      </c>
      <c r="D34" s="637" t="str">
        <f>'SKP JF (KUANTITATIF)'!D29&amp;""</f>
        <v>Dokumen kegiatan tugas tambahan sebagai Pengurus atau MKKS/KKKS Kab. Lampung Utara</v>
      </c>
      <c r="E34" s="638"/>
      <c r="F34" s="267" t="str">
        <f>'SKP JF (KUANTITATIF)'!G29&amp;""</f>
        <v>Kuantitas</v>
      </c>
      <c r="G34" s="643" t="str">
        <f>'SKP JF (KUANTITATIF)'!H29&amp;""</f>
        <v>Jumlah Laporan Pengembangan Diri</v>
      </c>
      <c r="H34" s="644"/>
      <c r="I34" s="286">
        <f>'SKP JF (KUANTITATIF)'!J29</f>
        <v>1</v>
      </c>
      <c r="J34" s="269" t="str">
        <f>'SKP JF (KUANTITATIF)'!K29&amp;""</f>
        <v>Laporan</v>
      </c>
      <c r="K34" s="273" t="str">
        <f>'EVALUASI KINERJA KUANTI JF'!K34&amp;""</f>
        <v>1</v>
      </c>
      <c r="L34" s="271" t="str">
        <f>'EVALUASI KINERJA KUANTI JF'!L34&amp;""</f>
        <v>berdasarkan penilaian pimpinan</v>
      </c>
      <c r="M34" s="228" t="str">
        <f t="shared" si="1"/>
        <v>C</v>
      </c>
      <c r="N34" s="274" t="str">
        <f t="shared" si="3"/>
        <v>Bagus, sudah amat baik, pertahankan.</v>
      </c>
      <c r="O34" s="113"/>
      <c r="P34" s="109">
        <f t="shared" si="0"/>
        <v>100</v>
      </c>
      <c r="Q34" s="105" t="str">
        <f t="shared" si="2"/>
        <v>Sangat Baik</v>
      </c>
      <c r="R34" s="69"/>
      <c r="S34" s="69"/>
      <c r="T34" s="69"/>
      <c r="U34" s="69"/>
    </row>
    <row r="35" spans="1:23" s="106" customFormat="1" ht="54" customHeight="1" x14ac:dyDescent="0.25">
      <c r="A35" s="113"/>
      <c r="B35" s="634"/>
      <c r="C35" s="581"/>
      <c r="D35" s="639"/>
      <c r="E35" s="640"/>
      <c r="F35" s="267" t="str">
        <f>'SKP JF (KUANTITATIF)'!G30&amp;""</f>
        <v>Kualitas</v>
      </c>
      <c r="G35" s="643" t="str">
        <f>'SKP JF (KUANTITATIF)'!H30&amp;""</f>
        <v>Laporan PD, daftar hadir, suket kegiatan dari Korwas.</v>
      </c>
      <c r="H35" s="644"/>
      <c r="I35" s="268">
        <f>'SKP JF (KUANTITATIF)'!J30</f>
        <v>0.95</v>
      </c>
      <c r="J35" s="269" t="str">
        <f>'SKP JF (KUANTITATIF)'!K30&amp;""</f>
        <v>(Persen)</v>
      </c>
      <c r="K35" s="270">
        <f>'EVALUASI KINERJA KUANTI JF'!K35</f>
        <v>0.9</v>
      </c>
      <c r="L35" s="271" t="str">
        <f>IF(K35&gt;=1%,"berdasarkan penilaian pimpinan","")</f>
        <v>berdasarkan penilaian pimpinan</v>
      </c>
      <c r="M35" s="228" t="str">
        <f t="shared" si="1"/>
        <v>C</v>
      </c>
      <c r="N35" s="274" t="str">
        <f t="shared" si="3"/>
        <v>Bagus, sudah amat baik, pertahankan.</v>
      </c>
      <c r="O35" s="113"/>
      <c r="P35" s="109">
        <f t="shared" si="0"/>
        <v>94.736842105263165</v>
      </c>
      <c r="Q35" s="105" t="str">
        <f t="shared" si="2"/>
        <v>Sangat Baik</v>
      </c>
      <c r="R35" s="69"/>
      <c r="S35" s="69"/>
      <c r="T35" s="69"/>
      <c r="U35" s="69"/>
    </row>
    <row r="36" spans="1:23" s="106" customFormat="1" ht="54" customHeight="1" x14ac:dyDescent="0.25">
      <c r="A36" s="113"/>
      <c r="B36" s="635"/>
      <c r="C36" s="582"/>
      <c r="D36" s="641"/>
      <c r="E36" s="642"/>
      <c r="F36" s="267" t="str">
        <f>'SKP JF (KUANTITATIF)'!G31&amp;""</f>
        <v>Waktu</v>
      </c>
      <c r="G36" s="643" t="str">
        <f>'SKP JF (KUANTITATIF)'!H31&amp;""</f>
        <v>Ketepatan waktu pelaksanaan kegiatan.</v>
      </c>
      <c r="H36" s="644"/>
      <c r="I36" s="272">
        <f>'SKP JF (KUANTITATIF)'!J31</f>
        <v>3</v>
      </c>
      <c r="J36" s="269" t="str">
        <f>'SKP JF (KUANTITATIF)'!K31&amp;""</f>
        <v>Bulan</v>
      </c>
      <c r="K36" s="273" t="str">
        <f>'EVALUASI KINERJA KUANTI JF'!K36&amp;""</f>
        <v>3</v>
      </c>
      <c r="L36" s="271" t="str">
        <f>'EVALUASI KINERJA KUANTI JF'!L36&amp;""</f>
        <v>bulan berdasarkan waktu kegiatan</v>
      </c>
      <c r="M36" s="228" t="str">
        <f t="shared" si="1"/>
        <v>C</v>
      </c>
      <c r="N36" s="274" t="str">
        <f t="shared" si="3"/>
        <v>Bagus, sudah amat baik, pertahankan.</v>
      </c>
      <c r="O36" s="113"/>
      <c r="P36" s="109">
        <f t="shared" si="0"/>
        <v>100</v>
      </c>
      <c r="Q36" s="105" t="str">
        <f t="shared" si="2"/>
        <v>Sangat Baik</v>
      </c>
      <c r="R36" s="69"/>
      <c r="S36" s="69"/>
      <c r="T36" s="69"/>
      <c r="U36" s="69"/>
    </row>
    <row r="37" spans="1:23" x14ac:dyDescent="0.25">
      <c r="A37" s="110"/>
      <c r="B37" s="653" t="s">
        <v>24</v>
      </c>
      <c r="C37" s="654"/>
      <c r="D37" s="654"/>
      <c r="E37" s="654"/>
      <c r="F37" s="654"/>
      <c r="G37" s="654"/>
      <c r="H37" s="654"/>
      <c r="I37" s="654"/>
      <c r="J37" s="654"/>
      <c r="K37" s="654"/>
      <c r="L37" s="654"/>
      <c r="M37" s="654"/>
      <c r="N37" s="655"/>
      <c r="O37" s="110"/>
    </row>
    <row r="38" spans="1:23" s="106" customFormat="1" ht="49.5" customHeight="1" x14ac:dyDescent="0.25">
      <c r="A38" s="113"/>
      <c r="B38" s="633" t="str">
        <f>'SKP JF (KUANTITATIF)'!B33&amp;""</f>
        <v>1</v>
      </c>
      <c r="C38" s="636" t="str">
        <f>'SKP JF (KUANTITATIF)'!C33&amp;""</f>
        <v>Dokumen tugas kedinasan lain yang diberikan pimpinan baik lisan maupun tertulis dilingkungan Dinas Pendidikan Kab. Lampung Utara</v>
      </c>
      <c r="D38" s="637" t="str">
        <f>'SKP JF (KUANTITATIF)'!D33&amp;""</f>
        <v>Dokumen kegiatan tugas tambahan sebagai Anggota / Pengurus MKKS/PGRI Kab. Barito Timur.</v>
      </c>
      <c r="E38" s="638"/>
      <c r="F38" s="267" t="str">
        <f>'SKP JF (KUANTITATIF)'!G33&amp;""</f>
        <v>Kuantitas</v>
      </c>
      <c r="G38" s="643" t="str">
        <f>'SKP JF (KUANTITATIF)'!H33&amp;""</f>
        <v>Jumlah Satuan Kegiatan</v>
      </c>
      <c r="H38" s="644"/>
      <c r="I38" s="286">
        <f>'SKP JF (KUANTITATIF)'!J33</f>
        <v>1</v>
      </c>
      <c r="J38" s="269" t="str">
        <f>'SKP JF (KUANTITATIF)'!K33&amp;""</f>
        <v>Dokumen</v>
      </c>
      <c r="K38" s="273" t="str">
        <f>'EVALUASI KINERJA KUANTI JF'!K38&amp;""</f>
        <v>1</v>
      </c>
      <c r="L38" s="271" t="str">
        <f>'EVALUASI KINERJA KUANTI JF'!L38&amp;""</f>
        <v>berdasarkan penilaian pimpinan</v>
      </c>
      <c r="M38" s="228" t="str">
        <f t="shared" ref="M38:M40" si="4">IF(Q38="Sangat Baik","C",IF(Q38="Baik","J",IF(Q38="Cukup","K",IF(Q38="Kurang","L",""))))</f>
        <v>C</v>
      </c>
      <c r="N38" s="274" t="str">
        <f t="shared" ref="N38:N43" si="5">IF(K38="","",IF(Q38="Sangat Baik","Bagus, sudah amat baik, pertahankan.",IF(Q38="Baik","Bagus, sudah baik, dapat lebih ditingkatkan.",IF(Q38="Cukup","Cukup baik, ada baiknya perlu sekali ditingkatkan.",IF(Q38="Kurang","Kurang, sangat perlu perbaikan secara menyeluruh.","")))))</f>
        <v>Bagus, sudah amat baik, pertahankan.</v>
      </c>
      <c r="O38" s="113"/>
      <c r="P38" s="109">
        <f t="shared" ref="P38:P43" si="6">(K38/I38)*100</f>
        <v>100</v>
      </c>
      <c r="Q38" s="105" t="str">
        <f t="shared" ref="Q38:Q44" si="7">IF(P38&lt;=50,("Buruk"),IF(P38&lt;=60,("Kurang"),IF(P38&lt;=75,("Cukup"),IF(P38&lt;=90,("Baik"),("Sangat Baik")))))</f>
        <v>Sangat Baik</v>
      </c>
      <c r="R38" s="69"/>
      <c r="S38" s="69"/>
      <c r="T38" s="69"/>
      <c r="U38" s="69"/>
    </row>
    <row r="39" spans="1:23" s="106" customFormat="1" ht="53.25" customHeight="1" x14ac:dyDescent="1.1000000000000001">
      <c r="A39" s="113"/>
      <c r="B39" s="634"/>
      <c r="C39" s="581"/>
      <c r="D39" s="639"/>
      <c r="E39" s="640"/>
      <c r="F39" s="267" t="str">
        <f>'SKP JF (KUANTITATIF)'!G34&amp;""</f>
        <v>Kualitas</v>
      </c>
      <c r="G39" s="643" t="str">
        <f>'SKP JF (KUANTITATIF)'!H34&amp;""</f>
        <v>Dokumen Tugas Tambahan sebagai Pengurus APSI</v>
      </c>
      <c r="H39" s="644"/>
      <c r="I39" s="268">
        <f>'SKP JF (KUANTITATIF)'!J34</f>
        <v>0.95</v>
      </c>
      <c r="J39" s="269" t="str">
        <f>'SKP JF (KUANTITATIF)'!K34&amp;""</f>
        <v>(Persen)</v>
      </c>
      <c r="K39" s="270">
        <f>'EVALUASI KINERJA KUANTI JF'!K39</f>
        <v>0.9</v>
      </c>
      <c r="L39" s="271" t="str">
        <f>IF(K39&gt;=1%,"berdasarkan penilaian pimpinan","")</f>
        <v>berdasarkan penilaian pimpinan</v>
      </c>
      <c r="M39" s="228" t="str">
        <f t="shared" si="4"/>
        <v>C</v>
      </c>
      <c r="N39" s="274" t="str">
        <f t="shared" si="5"/>
        <v>Bagus, sudah amat baik, pertahankan.</v>
      </c>
      <c r="O39" s="113"/>
      <c r="P39" s="109">
        <f t="shared" si="6"/>
        <v>94.736842105263165</v>
      </c>
      <c r="Q39" s="105" t="str">
        <f t="shared" si="7"/>
        <v>Sangat Baik</v>
      </c>
      <c r="R39" s="646" t="str">
        <f>IF(Q41="Sangat Baik","C",IF(Q41="Baik","J",IF(Q41="Cukup","K",IF(Q41="Kurang","L",""))))</f>
        <v>C</v>
      </c>
      <c r="S39" s="647"/>
      <c r="T39" s="648"/>
      <c r="U39" s="648"/>
      <c r="V39" s="648"/>
    </row>
    <row r="40" spans="1:23" s="106" customFormat="1" ht="56.25" customHeight="1" x14ac:dyDescent="0.25">
      <c r="A40" s="113"/>
      <c r="B40" s="635"/>
      <c r="C40" s="582"/>
      <c r="D40" s="641"/>
      <c r="E40" s="642"/>
      <c r="F40" s="267" t="str">
        <f>'SKP JF (KUANTITATIF)'!G35&amp;""</f>
        <v>Waktu</v>
      </c>
      <c r="G40" s="643" t="str">
        <f>'SKP JF (KUANTITATIF)'!H35&amp;""</f>
        <v>Ketepatan waktu pelaksanaan kegiatan.</v>
      </c>
      <c r="H40" s="644"/>
      <c r="I40" s="272">
        <f>'SKP JF (KUANTITATIF)'!J35</f>
        <v>12</v>
      </c>
      <c r="J40" s="269" t="str">
        <f>'SKP JF (KUANTITATIF)'!K35&amp;""</f>
        <v>Bulan</v>
      </c>
      <c r="K40" s="273" t="str">
        <f>'EVALUASI KINERJA KUANTI JF'!K40&amp;""</f>
        <v>12</v>
      </c>
      <c r="L40" s="271" t="str">
        <f>'EVALUASI KINERJA KUANTI JF'!L40&amp;""</f>
        <v>bulan berdasarkan waktu kegiatan</v>
      </c>
      <c r="M40" s="228" t="str">
        <f t="shared" si="4"/>
        <v>C</v>
      </c>
      <c r="N40" s="274" t="str">
        <f t="shared" si="5"/>
        <v>Bagus, sudah amat baik, pertahankan.</v>
      </c>
      <c r="O40" s="113"/>
      <c r="P40" s="109">
        <f t="shared" si="6"/>
        <v>100</v>
      </c>
      <c r="Q40" s="105" t="str">
        <f t="shared" si="7"/>
        <v>Sangat Baik</v>
      </c>
      <c r="R40" s="69"/>
      <c r="S40" s="69"/>
      <c r="T40" s="69"/>
      <c r="U40" s="69"/>
    </row>
    <row r="41" spans="1:23" s="106" customFormat="1" ht="48.75" x14ac:dyDescent="0.25">
      <c r="A41" s="113"/>
      <c r="B41" s="633" t="str">
        <f>'SKP JF (KUANTITATIF)'!B36&amp;""</f>
        <v>2</v>
      </c>
      <c r="C41" s="636" t="str">
        <f>'SKP JF (KUANTITATIF)'!C36&amp;""</f>
        <v>Dokumen kegiatan peningkatan kompetensi dan pengembangan karir ASN di lingkungan Dinas Pendidikan Kab. Lampung Utara</v>
      </c>
      <c r="D41" s="637" t="str">
        <f>'SKP JF (KUANTITATIF)'!D36&amp;""</f>
        <v>Dokumen kegiatan mengikuti Seminar dan atau Webinar Pendidikan di Lingkungan daerah dan Pusat.</v>
      </c>
      <c r="E41" s="638"/>
      <c r="F41" s="267" t="str">
        <f>'SKP JF (KUANTITATIF)'!G36&amp;""</f>
        <v>Kuantitas</v>
      </c>
      <c r="G41" s="643" t="str">
        <f>'SKP JF (KUANTITATIF)'!H36&amp;""</f>
        <v>Jumlah Sertifikat</v>
      </c>
      <c r="H41" s="644"/>
      <c r="I41" s="286">
        <f>'SKP JF (KUANTITATIF)'!J36</f>
        <v>1</v>
      </c>
      <c r="J41" s="269" t="str">
        <f>'SKP JF (KUANTITATIF)'!K36&amp;""</f>
        <v>Sertifikat</v>
      </c>
      <c r="K41" s="273" t="str">
        <f>'EVALUASI KINERJA KUANTI JF'!K41&amp;""</f>
        <v>1</v>
      </c>
      <c r="L41" s="271" t="str">
        <f>'EVALUASI KINERJA KUANTI JF'!L41&amp;""</f>
        <v>berdasarkan penilaian pimpinan</v>
      </c>
      <c r="M41" s="228" t="str">
        <f t="shared" si="1"/>
        <v>C</v>
      </c>
      <c r="N41" s="274" t="str">
        <f t="shared" si="5"/>
        <v>Bagus, sudah amat baik, pertahankan.</v>
      </c>
      <c r="O41" s="113"/>
      <c r="P41" s="109">
        <f t="shared" si="6"/>
        <v>100</v>
      </c>
      <c r="Q41" s="105" t="str">
        <f t="shared" si="7"/>
        <v>Sangat Baik</v>
      </c>
      <c r="R41" s="69"/>
      <c r="S41" s="69"/>
      <c r="T41" s="69"/>
      <c r="U41" s="69"/>
    </row>
    <row r="42" spans="1:23" s="106" customFormat="1" ht="44.25" customHeight="1" x14ac:dyDescent="1.1000000000000001">
      <c r="A42" s="113"/>
      <c r="B42" s="634"/>
      <c r="C42" s="581"/>
      <c r="D42" s="639"/>
      <c r="E42" s="640"/>
      <c r="F42" s="267" t="str">
        <f>'SKP JF (KUANTITATIF)'!G37&amp;""</f>
        <v>Kualitas</v>
      </c>
      <c r="G42" s="643" t="str">
        <f>'SKP JF (KUANTITATIF)'!H37&amp;""</f>
        <v>Sertifikat Webinar APSI Pusat sebagai peserta</v>
      </c>
      <c r="H42" s="644"/>
      <c r="I42" s="268">
        <f>'SKP JF (KUANTITATIF)'!J37</f>
        <v>0.95</v>
      </c>
      <c r="J42" s="269" t="str">
        <f>'SKP JF (KUANTITATIF)'!K37&amp;""</f>
        <v>(Persen)</v>
      </c>
      <c r="K42" s="270">
        <f>'EVALUASI KINERJA KUANTI JF'!K42</f>
        <v>0.85</v>
      </c>
      <c r="L42" s="271" t="str">
        <f>IF(K42&gt;=1%,"berdasarkan penilaian pimpinan","")</f>
        <v>berdasarkan penilaian pimpinan</v>
      </c>
      <c r="M42" s="228" t="str">
        <f t="shared" si="1"/>
        <v>J</v>
      </c>
      <c r="N42" s="274" t="str">
        <f t="shared" si="5"/>
        <v>Bagus, sudah baik, dapat lebih ditingkatkan.</v>
      </c>
      <c r="O42" s="113"/>
      <c r="P42" s="109">
        <f t="shared" si="6"/>
        <v>89.473684210526315</v>
      </c>
      <c r="Q42" s="105" t="str">
        <f t="shared" si="7"/>
        <v>Baik</v>
      </c>
      <c r="R42" s="646" t="str">
        <f>IF(Q44="Sangat Baik","C",IF(Q44="Baik","J",IF(Q44="Cukup","K",IF(Q44="Kurang","L",""))))</f>
        <v>C</v>
      </c>
      <c r="S42" s="647"/>
      <c r="T42" s="648"/>
      <c r="U42" s="648"/>
      <c r="V42" s="648"/>
    </row>
    <row r="43" spans="1:23" s="106" customFormat="1" ht="48.75" x14ac:dyDescent="0.25">
      <c r="A43" s="113"/>
      <c r="B43" s="635"/>
      <c r="C43" s="582"/>
      <c r="D43" s="641"/>
      <c r="E43" s="642"/>
      <c r="F43" s="267" t="str">
        <f>'SKP JF (KUANTITATIF)'!G38&amp;""</f>
        <v>Waktu</v>
      </c>
      <c r="G43" s="643" t="str">
        <f>'SKP JF (KUANTITATIF)'!H38&amp;""</f>
        <v>Ketepatan waktu pelaksanaan kegiatan.</v>
      </c>
      <c r="H43" s="644"/>
      <c r="I43" s="272">
        <f>'SKP JF (KUANTITATIF)'!J38</f>
        <v>6</v>
      </c>
      <c r="J43" s="269" t="str">
        <f>'SKP JF (KUANTITATIF)'!K38&amp;""</f>
        <v>Bulan</v>
      </c>
      <c r="K43" s="273" t="str">
        <f>'EVALUASI KINERJA KUANTI JF'!K43&amp;""</f>
        <v>6</v>
      </c>
      <c r="L43" s="271" t="str">
        <f>'EVALUASI KINERJA KUANTI JF'!L43&amp;""</f>
        <v>bulan berdasarkan waktu kegiatan</v>
      </c>
      <c r="M43" s="228" t="str">
        <f t="shared" si="1"/>
        <v>C</v>
      </c>
      <c r="N43" s="274" t="str">
        <f t="shared" si="5"/>
        <v>Bagus, sudah amat baik, pertahankan.</v>
      </c>
      <c r="O43" s="113"/>
      <c r="P43" s="109">
        <f t="shared" si="6"/>
        <v>100</v>
      </c>
      <c r="Q43" s="105" t="str">
        <f t="shared" si="7"/>
        <v>Sangat Baik</v>
      </c>
      <c r="R43" s="69"/>
      <c r="S43" s="69"/>
      <c r="T43" s="69"/>
      <c r="U43" s="69"/>
    </row>
    <row r="44" spans="1:23" s="107" customFormat="1" ht="15" customHeight="1" x14ac:dyDescent="0.25">
      <c r="A44" s="114"/>
      <c r="B44" s="341" t="s">
        <v>89</v>
      </c>
      <c r="C44" s="342"/>
      <c r="D44" s="342"/>
      <c r="E44" s="342"/>
      <c r="F44" s="342"/>
      <c r="G44" s="342"/>
      <c r="H44" s="342"/>
      <c r="I44" s="342"/>
      <c r="J44" s="342"/>
      <c r="K44" s="342"/>
      <c r="L44" s="342"/>
      <c r="M44" s="342"/>
      <c r="N44" s="343"/>
      <c r="O44" s="114"/>
      <c r="P44" s="229">
        <f>(AVERAGE(P22:P23,P25:P26,P28:P29,P31:P32,P34:P35,P38:P39,P41:P42))</f>
        <v>96.616541353383454</v>
      </c>
      <c r="Q44" s="118" t="str">
        <f t="shared" si="7"/>
        <v>Sangat Baik</v>
      </c>
      <c r="R44" s="118"/>
      <c r="S44" s="118"/>
      <c r="T44" s="118"/>
      <c r="U44" s="118"/>
      <c r="V44" s="118"/>
      <c r="W44" s="118"/>
    </row>
    <row r="45" spans="1:23" s="107" customFormat="1" ht="21" customHeight="1" x14ac:dyDescent="0.25">
      <c r="A45" s="114"/>
      <c r="B45" s="649" t="str">
        <f>'EVALUASI KINERJA KUANTI JF'!B45</f>
        <v>SESUAI EKSPEKTASI</v>
      </c>
      <c r="C45" s="650"/>
      <c r="D45" s="317"/>
      <c r="E45" s="317"/>
      <c r="F45" s="317"/>
      <c r="G45" s="317"/>
      <c r="H45" s="317"/>
      <c r="I45" s="317"/>
      <c r="J45" s="317"/>
      <c r="K45" s="317"/>
      <c r="L45" s="317"/>
      <c r="M45" s="122"/>
      <c r="N45" s="123"/>
      <c r="O45" s="114"/>
      <c r="R45" s="118"/>
      <c r="S45" s="118"/>
      <c r="T45" s="118"/>
      <c r="U45" s="118"/>
      <c r="V45" s="118"/>
      <c r="W45" s="118"/>
    </row>
    <row r="46" spans="1:23" ht="33.75" customHeight="1" x14ac:dyDescent="0.25">
      <c r="A46" s="110"/>
      <c r="B46" s="381" t="s">
        <v>25</v>
      </c>
      <c r="C46" s="382"/>
      <c r="D46" s="382"/>
      <c r="E46" s="382"/>
      <c r="F46" s="382"/>
      <c r="G46" s="382"/>
      <c r="H46" s="382"/>
      <c r="I46" s="382"/>
      <c r="J46" s="382"/>
      <c r="K46" s="382"/>
      <c r="L46" s="383"/>
      <c r="M46" s="651" t="s">
        <v>71</v>
      </c>
      <c r="N46" s="652"/>
      <c r="O46" s="110"/>
      <c r="R46" s="315" t="s">
        <v>243</v>
      </c>
      <c r="S46" s="316" t="s">
        <v>244</v>
      </c>
      <c r="T46" s="355" t="s">
        <v>286</v>
      </c>
      <c r="U46" s="118"/>
      <c r="V46" s="118"/>
      <c r="W46" s="118"/>
    </row>
    <row r="47" spans="1:23" s="108" customFormat="1" x14ac:dyDescent="0.25">
      <c r="A47" s="115"/>
      <c r="B47" s="275" t="str">
        <f>'SKP JF (KUANTITATIF)'!B40&amp;""</f>
        <v>1</v>
      </c>
      <c r="C47" s="455" t="str">
        <f>IF(R47&lt;&gt;"",VLOOKUP(R47,BERAHLAK!$B$5:$C$53,2,FALSE),"")</f>
        <v>Berorientasi Pelayanan</v>
      </c>
      <c r="D47" s="456"/>
      <c r="E47" s="456"/>
      <c r="F47" s="456"/>
      <c r="G47" s="456"/>
      <c r="H47" s="456"/>
      <c r="I47" s="456"/>
      <c r="J47" s="456"/>
      <c r="K47" s="456"/>
      <c r="L47" s="456"/>
      <c r="M47" s="457"/>
      <c r="N47" s="458"/>
      <c r="O47" s="115"/>
      <c r="R47" s="353" t="str">
        <f>'EVALUASI KINERJA KUANTI JF'!R47&amp;""</f>
        <v>1.</v>
      </c>
      <c r="S47" s="118"/>
      <c r="T47" s="86"/>
      <c r="U47" s="86"/>
    </row>
    <row r="48" spans="1:23" s="108" customFormat="1" ht="32.25" customHeight="1" x14ac:dyDescent="0.25">
      <c r="A48" s="115"/>
      <c r="B48" s="276"/>
      <c r="C48" s="277" t="str">
        <f>IF(R48&lt;&gt;"",VLOOKUP(R48,BERAHLAK!$B$5:$C$53,2,FALSE),"")</f>
        <v>- Memahami dan memenuhi kebutuhan masyarakat</v>
      </c>
      <c r="D48" s="249"/>
      <c r="E48" s="249"/>
      <c r="F48" s="249"/>
      <c r="G48" s="249"/>
      <c r="H48" s="249"/>
      <c r="I48" s="278" t="s">
        <v>27</v>
      </c>
      <c r="J48" s="279"/>
      <c r="K48" s="252"/>
      <c r="L48" s="253"/>
      <c r="N48" s="670" t="str">
        <f>IF(T48&lt;&gt;"",VLOOKUP(T48,'UMPAN-BALIK'!$B$5:$C$53,2,FALSE),"")</f>
        <v>Stakeholder terkait: Ramah dalam memberikan pelayanan kepada stakeholder (komite sekolah, dinas terkait), semua warga sekolah (guru dan tenaga kependidikan lainnya).</v>
      </c>
      <c r="O48" s="115"/>
      <c r="R48" s="353" t="str">
        <f>'EVALUASI KINERJA KUANTI JF'!R48&amp;""</f>
        <v>1.1</v>
      </c>
      <c r="S48" s="118"/>
      <c r="T48" s="348" t="str">
        <f>'EVALUASI KINERJA KUANTI JF'!T48&amp;""</f>
        <v>1.1</v>
      </c>
      <c r="U48" s="86"/>
    </row>
    <row r="49" spans="1:21" s="108" customFormat="1" ht="32.25" customHeight="1" x14ac:dyDescent="0.25">
      <c r="A49" s="115"/>
      <c r="B49" s="276"/>
      <c r="C49" s="282" t="str">
        <f>IF(R49&lt;&gt;"",VLOOKUP(R49,BERAHLAK!$B$5:$C$53,2,FALSE),"")</f>
        <v>- Ramah, cekatan, solutif, dan dapat diandalkan</v>
      </c>
      <c r="D49" s="254"/>
      <c r="E49" s="254"/>
      <c r="F49" s="254"/>
      <c r="G49" s="254"/>
      <c r="H49" s="254"/>
      <c r="I49" s="608" t="str">
        <f>IF(S49&lt;&gt;"",VLOOKUP(S49,BERAHLAK!$E$5:$F$53,2,FALSE),"")</f>
        <v>- Maksimal dalam pelayanan, terbuka terhadap masukan atau kritikan.</v>
      </c>
      <c r="J49" s="536"/>
      <c r="K49" s="536"/>
      <c r="L49" s="537"/>
      <c r="N49" s="671"/>
      <c r="O49" s="115"/>
      <c r="R49" s="353" t="str">
        <f>'EVALUASI KINERJA KUANTI JF'!R49&amp;""</f>
        <v>1.2</v>
      </c>
      <c r="S49" s="352" t="str">
        <f>'EVALUASI KINERJA KUANTI JF'!S49&amp;""</f>
        <v>1.1</v>
      </c>
      <c r="T49" s="86"/>
      <c r="U49" s="86"/>
    </row>
    <row r="50" spans="1:21" s="108" customFormat="1" ht="50.25" customHeight="1" x14ac:dyDescent="0.25">
      <c r="A50" s="115"/>
      <c r="B50" s="280"/>
      <c r="C50" s="281" t="str">
        <f>IF(R50&lt;&gt;"",VLOOKUP(R50,BERAHLAK!$B$5:$C$53,2,FALSE),"")</f>
        <v>- Melakukan perbaikan tiada henti</v>
      </c>
      <c r="D50" s="258"/>
      <c r="E50" s="258"/>
      <c r="F50" s="258"/>
      <c r="G50" s="258"/>
      <c r="H50" s="258"/>
      <c r="I50" s="599" t="str">
        <f>IF(S50&lt;&gt;"",VLOOKUP(S50,BERAHLAK!$E$5:$F$53,2,FALSE),"")</f>
        <v>- Selalu belajar dari kesalahan untuk perbaikan kinerja selanjutnya.</v>
      </c>
      <c r="J50" s="539"/>
      <c r="K50" s="539"/>
      <c r="L50" s="540"/>
      <c r="N50" s="357" t="str">
        <f>IF(T50&lt;&gt;"",VLOOKUP(T50,'UMPAN-BALIK'!$B$5:$C$53,2,FALSE),"")</f>
        <v>Pimpinan : Yang bersangkutan dapat diandalkan ketika ada hal-hal yang membutuhkan penyelesaian segera.</v>
      </c>
      <c r="O50" s="115"/>
      <c r="R50" s="353" t="str">
        <f>'EVALUASI KINERJA KUANTI JF'!R50&amp;""</f>
        <v>1.3</v>
      </c>
      <c r="S50" s="352" t="str">
        <f>'EVALUASI KINERJA KUANTI JF'!S50&amp;""</f>
        <v>1.2</v>
      </c>
      <c r="T50" s="348" t="str">
        <f>'EVALUASI KINERJA KUANTI JF'!T50&amp;""</f>
        <v>1.2</v>
      </c>
      <c r="U50" s="86"/>
    </row>
    <row r="51" spans="1:21" s="108" customFormat="1" x14ac:dyDescent="0.25">
      <c r="A51" s="115"/>
      <c r="B51" s="275" t="str">
        <f>'SKP JF (KUANTITATIF)'!B44&amp;""</f>
        <v>2</v>
      </c>
      <c r="C51" s="455" t="str">
        <f>IF(R51&lt;&gt;"",VLOOKUP(R51,BERAHLAK!$B$5:$C$53,2,FALSE),"")</f>
        <v>Akuntabel</v>
      </c>
      <c r="D51" s="456"/>
      <c r="E51" s="456"/>
      <c r="F51" s="456"/>
      <c r="G51" s="456"/>
      <c r="H51" s="456"/>
      <c r="I51" s="456"/>
      <c r="J51" s="456"/>
      <c r="K51" s="456"/>
      <c r="L51" s="456"/>
      <c r="M51" s="459"/>
      <c r="N51" s="460"/>
      <c r="O51" s="115"/>
      <c r="R51" s="353" t="str">
        <f>'EVALUASI KINERJA KUANTI JF'!R51&amp;""</f>
        <v>2.</v>
      </c>
      <c r="S51" s="86"/>
      <c r="T51" s="86"/>
      <c r="U51" s="86"/>
    </row>
    <row r="52" spans="1:21" s="108" customFormat="1" ht="30.75" customHeight="1" x14ac:dyDescent="0.25">
      <c r="A52" s="115"/>
      <c r="B52" s="276"/>
      <c r="C52" s="656" t="str">
        <f>IF(R52&lt;&gt;"",VLOOKUP(R52,BERAHLAK!$B$5:$C$53,2,FALSE),"")</f>
        <v>- Melaksanakan tugas dengan jujur, bertanggungjawab, cermat, disiplin dan berintegritas tinggi</v>
      </c>
      <c r="D52" s="657"/>
      <c r="E52" s="657"/>
      <c r="F52" s="657"/>
      <c r="G52" s="657"/>
      <c r="H52" s="658"/>
      <c r="I52" s="278" t="s">
        <v>27</v>
      </c>
      <c r="J52" s="279"/>
      <c r="K52" s="252"/>
      <c r="L52" s="253"/>
      <c r="N52" s="670" t="str">
        <f>IF(T52&lt;&gt;"",VLOOKUP(T52,'UMPAN-BALIK'!$B$5:$C$53,2,FALSE),"")</f>
        <v>Teman sejawat: Selalu menunjukkan sikap bertanggung jawab meskipun ada kesalahan yang dilakukan anggota timnya.</v>
      </c>
      <c r="O52" s="115"/>
      <c r="R52" s="353" t="str">
        <f>'EVALUASI KINERJA KUANTI JF'!R52&amp;""</f>
        <v>2.1</v>
      </c>
      <c r="S52" s="86"/>
      <c r="T52" s="348" t="str">
        <f>'EVALUASI KINERJA KUANTI JF'!T52&amp;""</f>
        <v>2.1</v>
      </c>
      <c r="U52" s="86"/>
    </row>
    <row r="53" spans="1:21" s="108" customFormat="1" ht="46.5" customHeight="1" x14ac:dyDescent="0.25">
      <c r="A53" s="115"/>
      <c r="B53" s="276"/>
      <c r="C53" s="659" t="str">
        <f>IF(R53&lt;&gt;"",VLOOKUP(R53,BERAHLAK!$B$5:$C$53,2,FALSE),"")</f>
        <v>- Menggunakan kekayaan dan barang milik negara secara bertanggungjawab, efektif, dan efisien</v>
      </c>
      <c r="D53" s="610"/>
      <c r="E53" s="610"/>
      <c r="F53" s="610"/>
      <c r="G53" s="610"/>
      <c r="H53" s="611"/>
      <c r="I53" s="608" t="str">
        <f>IF(S53&lt;&gt;"",VLOOKUP(S53,BERAHLAK!$E$5:$F$53,2,FALSE),"")</f>
        <v>- Berani berterus terang jika merasa ada kesalahan dan mengakui kesalahan yang telah dibuat.</v>
      </c>
      <c r="J53" s="536"/>
      <c r="K53" s="536"/>
      <c r="L53" s="537"/>
      <c r="N53" s="671"/>
      <c r="O53" s="115"/>
      <c r="R53" s="353" t="str">
        <f>'EVALUASI KINERJA KUANTI JF'!R53&amp;""</f>
        <v>2.2</v>
      </c>
      <c r="S53" s="352" t="str">
        <f>'EVALUASI KINERJA KUANTI JF'!S53&amp;""</f>
        <v>2.1</v>
      </c>
      <c r="T53" s="86"/>
      <c r="U53" s="86"/>
    </row>
    <row r="54" spans="1:21" s="108" customFormat="1" ht="49.5" customHeight="1" x14ac:dyDescent="0.25">
      <c r="A54" s="115"/>
      <c r="B54" s="280"/>
      <c r="C54" s="281" t="str">
        <f>IF(R54&lt;&gt;"",VLOOKUP(R54,BERAHLAK!$B$5:$C$53,2,FALSE),"")</f>
        <v>- Tidak menyalahgunakan kewenangan jabatan</v>
      </c>
      <c r="D54" s="258"/>
      <c r="E54" s="258"/>
      <c r="F54" s="258"/>
      <c r="G54" s="258"/>
      <c r="H54" s="258"/>
      <c r="I54" s="257" t="str">
        <f>IF(S54&lt;&gt;"",VLOOKUP(S54,BERAHLAK!$E$5:$F$53,2,FALSE),"")</f>
        <v/>
      </c>
      <c r="J54" s="261"/>
      <c r="K54" s="261"/>
      <c r="L54" s="262"/>
      <c r="N54" s="357" t="str">
        <f>IF(T54&lt;&gt;"",VLOOKUP(T54,'UMPAN-BALIK'!$B$5:$C$53,2,FALSE),"")</f>
        <v>Pimpinan : Yang bersangkutan selalu merespon dengan cepat dan mengambil alternatif strategi.</v>
      </c>
      <c r="O54" s="115"/>
      <c r="R54" s="353" t="str">
        <f>'EVALUASI KINERJA KUANTI JF'!R54&amp;""</f>
        <v>2.3</v>
      </c>
      <c r="S54" s="354"/>
      <c r="T54" s="348" t="str">
        <f>'EVALUASI KINERJA KUANTI JF'!T54&amp;""</f>
        <v>2.2</v>
      </c>
      <c r="U54" s="86"/>
    </row>
    <row r="55" spans="1:21" s="108" customFormat="1" x14ac:dyDescent="0.25">
      <c r="A55" s="115"/>
      <c r="B55" s="275" t="str">
        <f>'SKP JF (KUANTITATIF)'!B48&amp;""</f>
        <v>3</v>
      </c>
      <c r="C55" s="461" t="str">
        <f>IF(R55&lt;&gt;"",VLOOKUP(R55,BERAHLAK!$B$5:$C$53,2,FALSE),"")</f>
        <v>Kompeten</v>
      </c>
      <c r="D55" s="462"/>
      <c r="E55" s="462"/>
      <c r="F55" s="462"/>
      <c r="G55" s="462"/>
      <c r="H55" s="462"/>
      <c r="I55" s="456"/>
      <c r="J55" s="456"/>
      <c r="K55" s="456"/>
      <c r="L55" s="456"/>
      <c r="M55" s="459"/>
      <c r="N55" s="463"/>
      <c r="O55" s="115"/>
      <c r="R55" s="353" t="str">
        <f>'EVALUASI KINERJA KUANTI JF'!R55&amp;""</f>
        <v>3.</v>
      </c>
      <c r="S55" s="86"/>
      <c r="T55" s="86"/>
      <c r="U55" s="86"/>
    </row>
    <row r="56" spans="1:21" s="108" customFormat="1" x14ac:dyDescent="0.25">
      <c r="A56" s="115"/>
      <c r="B56" s="276"/>
      <c r="C56" s="277" t="str">
        <f>IF(R56&lt;&gt;"",VLOOKUP(R56,BERAHLAK!$B$5:$C$53,2,FALSE),"")</f>
        <v>- Meningkatkan kompetensi diri untuk menjawab tantangan yang selalu berubah</v>
      </c>
      <c r="D56" s="249"/>
      <c r="E56" s="249"/>
      <c r="F56" s="249"/>
      <c r="G56" s="249"/>
      <c r="H56" s="250"/>
      <c r="I56" s="278" t="s">
        <v>27</v>
      </c>
      <c r="J56" s="279"/>
      <c r="K56" s="252"/>
      <c r="L56" s="253"/>
      <c r="N56" s="670" t="str">
        <f>IF(T56&lt;&gt;"",VLOOKUP(T56,'UMPAN-BALIK'!$B$5:$C$53,2,FALSE),"")</f>
        <v>Pimpinan: Memperhatikan pengembangan kompetensi dan selalu memberikan feedback kepada teman dan pimpinan.</v>
      </c>
      <c r="O56" s="115"/>
      <c r="R56" s="353" t="str">
        <f>'EVALUASI KINERJA KUANTI JF'!R56&amp;""</f>
        <v>3.1</v>
      </c>
      <c r="S56" s="86"/>
      <c r="T56" s="348" t="str">
        <f>'EVALUASI KINERJA KUANTI JF'!T56&amp;""</f>
        <v>3.1</v>
      </c>
      <c r="U56" s="86"/>
    </row>
    <row r="57" spans="1:21" s="108" customFormat="1" ht="48.75" customHeight="1" x14ac:dyDescent="0.25">
      <c r="A57" s="115"/>
      <c r="B57" s="276"/>
      <c r="C57" s="282" t="str">
        <f>IF(R57&lt;&gt;"",VLOOKUP(R57,BERAHLAK!$B$5:$C$53,2,FALSE),"")</f>
        <v>- Membantu orang lain belajar</v>
      </c>
      <c r="D57" s="254"/>
      <c r="E57" s="254"/>
      <c r="F57" s="254"/>
      <c r="G57" s="254"/>
      <c r="H57" s="254"/>
      <c r="I57" s="608" t="str">
        <f>IF(S57&lt;&gt;"",VLOOKUP(S57,BERAHLAK!$E$5:$F$53,2,FALSE),"")</f>
        <v>- Menyelesaikan setiap pekerjaan sesuai dengan target dan standar mutu yang ditetapkan.</v>
      </c>
      <c r="J57" s="536"/>
      <c r="K57" s="536"/>
      <c r="L57" s="537"/>
      <c r="N57" s="671"/>
      <c r="O57" s="115"/>
      <c r="R57" s="353" t="str">
        <f>'EVALUASI KINERJA KUANTI JF'!R57&amp;""</f>
        <v>3.2</v>
      </c>
      <c r="S57" s="352" t="str">
        <f>'EVALUASI KINERJA KUANTI JF'!S57&amp;""</f>
        <v>3.1</v>
      </c>
      <c r="T57" s="86"/>
      <c r="U57" s="86"/>
    </row>
    <row r="58" spans="1:21" s="108" customFormat="1" ht="48" customHeight="1" x14ac:dyDescent="0.25">
      <c r="A58" s="115"/>
      <c r="B58" s="280"/>
      <c r="C58" s="283" t="str">
        <f>IF(R58&lt;&gt;"",VLOOKUP(R58,BERAHLAK!$B$5:$C$53,2,FALSE),"")</f>
        <v>- Melaksanakan tugas dengan kualitas terbaik</v>
      </c>
      <c r="D58" s="258"/>
      <c r="E58" s="258"/>
      <c r="F58" s="258"/>
      <c r="G58" s="258"/>
      <c r="H58" s="258"/>
      <c r="I58" s="599" t="str">
        <f>IF(S58&lt;&gt;"",VLOOKUP(S58,BERAHLAK!$E$5:$F$53,2,FALSE),"")</f>
        <v>- Aktif dalam membagikan informasi kepada teman sejawat atau pihak lainnya yang sifatnya memberikan pengetahuan.</v>
      </c>
      <c r="J58" s="539"/>
      <c r="K58" s="539"/>
      <c r="L58" s="540"/>
      <c r="M58" s="361"/>
      <c r="N58" s="357" t="str">
        <f>IF(T58&lt;&gt;"",VLOOKUP(T58,'UMPAN-BALIK'!$B$5:$C$53,2,FALSE),"")</f>
        <v>Pimpinan: Tugas dari pimpinan hampir selalu dikerjakan dengan baik</v>
      </c>
      <c r="O58" s="115"/>
      <c r="R58" s="353" t="str">
        <f>'EVALUASI KINERJA KUANTI JF'!R58&amp;""</f>
        <v>3.3</v>
      </c>
      <c r="S58" s="352" t="str">
        <f>'EVALUASI KINERJA KUANTI JF'!S58&amp;""</f>
        <v>3.2</v>
      </c>
      <c r="T58" s="348" t="str">
        <f>'EVALUASI KINERJA KUANTI JF'!T58&amp;""</f>
        <v>3.2</v>
      </c>
      <c r="U58" s="86"/>
    </row>
    <row r="59" spans="1:21" s="108" customFormat="1" x14ac:dyDescent="0.25">
      <c r="A59" s="115"/>
      <c r="B59" s="275" t="str">
        <f>'SKP JF (KUANTITATIF)'!B52&amp;""</f>
        <v>4</v>
      </c>
      <c r="C59" s="455" t="str">
        <f>IF(R59&lt;&gt;"",VLOOKUP(R59,BERAHLAK!$B$5:$C$53,2,FALSE),"")</f>
        <v xml:space="preserve">Harmonis </v>
      </c>
      <c r="D59" s="456"/>
      <c r="E59" s="456"/>
      <c r="F59" s="456"/>
      <c r="G59" s="456"/>
      <c r="H59" s="456"/>
      <c r="I59" s="456"/>
      <c r="J59" s="456"/>
      <c r="K59" s="456"/>
      <c r="L59" s="456"/>
      <c r="M59" s="464"/>
      <c r="N59" s="463"/>
      <c r="O59" s="115"/>
      <c r="R59" s="353" t="str">
        <f>'EVALUASI KINERJA KUANTI JF'!R59&amp;""</f>
        <v>4.</v>
      </c>
      <c r="S59" s="86"/>
      <c r="T59" s="86"/>
      <c r="U59" s="86"/>
    </row>
    <row r="60" spans="1:21" s="108" customFormat="1" x14ac:dyDescent="0.25">
      <c r="A60" s="115"/>
      <c r="B60" s="276"/>
      <c r="C60" s="277" t="str">
        <f>IF(R60&lt;&gt;"",VLOOKUP(R60,BERAHLAK!$B$5:$C$53,2,FALSE),"")</f>
        <v>- Menghargai setiap orang apapun latar belakangnya</v>
      </c>
      <c r="D60" s="249"/>
      <c r="E60" s="249"/>
      <c r="F60" s="249"/>
      <c r="G60" s="249"/>
      <c r="H60" s="249"/>
      <c r="I60" s="278" t="s">
        <v>27</v>
      </c>
      <c r="J60" s="279"/>
      <c r="K60" s="252"/>
      <c r="L60" s="253"/>
      <c r="N60" s="670" t="str">
        <f>IF(T60&lt;&gt;"",VLOOKUP(T60,'UMPAN-BALIK'!$B$5:$C$53,2,FALSE),"")</f>
        <v>Pimpinan: Mampu menciptakan lingkungan yang kondusif di tim kerjanya terlihat dari tidak adanya anggota tim / teman sejawat yang berkonflik.</v>
      </c>
      <c r="O60" s="115"/>
      <c r="R60" s="353" t="str">
        <f>'EVALUASI KINERJA KUANTI JF'!R60&amp;""</f>
        <v>4.1</v>
      </c>
      <c r="S60" s="86"/>
      <c r="T60" s="348" t="str">
        <f>'EVALUASI KINERJA KUANTI JF'!T60&amp;""</f>
        <v>4.1</v>
      </c>
      <c r="U60" s="86"/>
    </row>
    <row r="61" spans="1:21" s="108" customFormat="1" ht="61.5" customHeight="1" x14ac:dyDescent="0.25">
      <c r="A61" s="115"/>
      <c r="B61" s="276"/>
      <c r="C61" s="282" t="str">
        <f>IF(R61&lt;&gt;"",VLOOKUP(R61,BERAHLAK!$B$5:$C$53,2,FALSE),"")</f>
        <v>- Suka menolong orang lain</v>
      </c>
      <c r="D61" s="254"/>
      <c r="E61" s="254"/>
      <c r="F61" s="254"/>
      <c r="G61" s="254"/>
      <c r="H61" s="254"/>
      <c r="I61" s="608" t="str">
        <f>IF(S61&lt;&gt;"",VLOOKUP(S61,BERAHLAK!$E$5:$F$53,2,FALSE),"")</f>
        <v>- Membangun komunikasi yang lebih terbuka dan menjaga hubungan baik dengan stakeholder</v>
      </c>
      <c r="J61" s="536"/>
      <c r="K61" s="536"/>
      <c r="L61" s="537"/>
      <c r="N61" s="671"/>
      <c r="O61" s="115"/>
      <c r="R61" s="353" t="str">
        <f>'EVALUASI KINERJA KUANTI JF'!R61&amp;""</f>
        <v>4.2</v>
      </c>
      <c r="S61" s="352" t="str">
        <f>'EVALUASI KINERJA KUANTI JF'!S61&amp;""</f>
        <v>4.1</v>
      </c>
      <c r="T61" s="86"/>
      <c r="U61" s="86"/>
    </row>
    <row r="62" spans="1:21" s="108" customFormat="1" ht="48" customHeight="1" x14ac:dyDescent="0.25">
      <c r="A62" s="115"/>
      <c r="B62" s="280"/>
      <c r="C62" s="281" t="str">
        <f>IF(R62&lt;&gt;"",VLOOKUP(R62,BERAHLAK!$B$5:$C$53,2,FALSE),"")</f>
        <v>- Membangun lingkungan kerja yang kondusif</v>
      </c>
      <c r="D62" s="258"/>
      <c r="E62" s="258"/>
      <c r="F62" s="258"/>
      <c r="G62" s="258"/>
      <c r="H62" s="258"/>
      <c r="I62" s="599" t="str">
        <f>IF(S62&lt;&gt;"",VLOOKUP(S62,BERAHLAK!$E$5:$F$53,2,FALSE),"")</f>
        <v>- Selalu siap memberi bantuan dengan atau tanpa harus diminta kepada teman sejawat atau pihak yang membutuhkan.</v>
      </c>
      <c r="J62" s="539"/>
      <c r="K62" s="539"/>
      <c r="L62" s="540"/>
      <c r="M62" s="361"/>
      <c r="N62" s="358" t="str">
        <f>IF(T62&lt;&gt;"",VLOOKUP(T62,'UMPAN-BALIK'!$B$5:$C$53,2,FALSE),"")</f>
        <v/>
      </c>
      <c r="O62" s="115"/>
      <c r="R62" s="353" t="str">
        <f>'EVALUASI KINERJA KUANTI JF'!R62&amp;""</f>
        <v>4.3</v>
      </c>
      <c r="S62" s="352" t="str">
        <f>'EVALUASI KINERJA KUANTI JF'!S62&amp;""</f>
        <v>4.2</v>
      </c>
      <c r="T62" s="348" t="str">
        <f>'EVALUASI KINERJA KUANTI JF'!T62&amp;""</f>
        <v/>
      </c>
      <c r="U62" s="86"/>
    </row>
    <row r="63" spans="1:21" s="108" customFormat="1" x14ac:dyDescent="0.25">
      <c r="A63" s="115"/>
      <c r="B63" s="275" t="str">
        <f>'SKP JF (KUANTITATIF)'!B56&amp;""</f>
        <v>5</v>
      </c>
      <c r="C63" s="455" t="str">
        <f>IF(R63&lt;&gt;"",VLOOKUP(R63,BERAHLAK!$B$5:$C$53,2,FALSE),"")</f>
        <v>Loyal</v>
      </c>
      <c r="D63" s="456"/>
      <c r="E63" s="456"/>
      <c r="F63" s="456"/>
      <c r="G63" s="456"/>
      <c r="H63" s="456"/>
      <c r="I63" s="456"/>
      <c r="J63" s="456"/>
      <c r="K63" s="456"/>
      <c r="L63" s="456"/>
      <c r="M63" s="464"/>
      <c r="N63" s="463"/>
      <c r="O63" s="115"/>
      <c r="R63" s="353" t="str">
        <f>'EVALUASI KINERJA KUANTI JF'!R63&amp;""</f>
        <v>5.</v>
      </c>
      <c r="S63" s="86"/>
      <c r="T63" s="348" t="str">
        <f>'EVALUASI KINERJA KUANTI JF'!T63&amp;""</f>
        <v/>
      </c>
      <c r="U63" s="86"/>
    </row>
    <row r="64" spans="1:21" s="108" customFormat="1" ht="30.75" customHeight="1" x14ac:dyDescent="0.25">
      <c r="A64" s="115"/>
      <c r="B64" s="276"/>
      <c r="C64" s="656" t="str">
        <f>IF(R64&lt;&gt;"",VLOOKUP(R64,BERAHLAK!$B$5:$C$53,2,FALSE),"")</f>
        <v>- Memegang teguh ideologi Pancasila, UUD Negara Republik Indonesia Tahun 1945, setia kepada NKRI serta pemerintahan yang sah.</v>
      </c>
      <c r="D64" s="657"/>
      <c r="E64" s="657"/>
      <c r="F64" s="657"/>
      <c r="G64" s="657"/>
      <c r="H64" s="657"/>
      <c r="I64" s="278" t="s">
        <v>27</v>
      </c>
      <c r="J64" s="279"/>
      <c r="K64" s="252"/>
      <c r="L64" s="253"/>
      <c r="N64" s="670" t="str">
        <f>IF(T64&lt;&gt;"",VLOOKUP(T64,'UMPAN-BALIK'!$B$5:$C$53,2,FALSE),"")</f>
        <v xml:space="preserve">Pimpinan: Arahan pimpinan selalu ditindaklanjuti dengan baik dan progresnya selalu dilaporkan dengan tepat waktu.
</v>
      </c>
      <c r="O64" s="115"/>
      <c r="R64" s="353" t="str">
        <f>'EVALUASI KINERJA KUANTI JF'!R64&amp;""</f>
        <v>5.1</v>
      </c>
      <c r="S64" s="86"/>
      <c r="T64" s="348" t="str">
        <f>'EVALUASI KINERJA KUANTI JF'!T64&amp;""</f>
        <v>5.1</v>
      </c>
      <c r="U64" s="86"/>
    </row>
    <row r="65" spans="1:21" s="108" customFormat="1" ht="46.5" customHeight="1" x14ac:dyDescent="0.25">
      <c r="A65" s="115"/>
      <c r="B65" s="276"/>
      <c r="C65" s="282" t="str">
        <f>IF(R65&lt;&gt;"",VLOOKUP(R65,BERAHLAK!$B$5:$C$53,2,FALSE),"")</f>
        <v>- Menjaga nama baik sesama ASN, Pimpinan, Instansi, dan Negara</v>
      </c>
      <c r="D65" s="254"/>
      <c r="E65" s="254"/>
      <c r="F65" s="254"/>
      <c r="G65" s="254"/>
      <c r="H65" s="254"/>
      <c r="I65" s="608" t="str">
        <f>IF(S65&lt;&gt;"",VLOOKUP(S65,BERAHLAK!$E$5:$F$53,2,FALSE),"")</f>
        <v>- Taat terhadap atasan sesuai dengan Struktur Jabatan pada Instansi pegawai berada</v>
      </c>
      <c r="J65" s="536"/>
      <c r="K65" s="536"/>
      <c r="L65" s="537"/>
      <c r="N65" s="671"/>
      <c r="O65" s="115"/>
      <c r="R65" s="353" t="str">
        <f>'EVALUASI KINERJA KUANTI JF'!R65&amp;""</f>
        <v>5.2</v>
      </c>
      <c r="S65" s="352" t="str">
        <f>'EVALUASI KINERJA KUANTI JF'!S65&amp;""</f>
        <v>5.1</v>
      </c>
      <c r="T65" s="86"/>
      <c r="U65" s="86"/>
    </row>
    <row r="66" spans="1:21" s="108" customFormat="1" ht="68.25" customHeight="1" x14ac:dyDescent="0.25">
      <c r="A66" s="115"/>
      <c r="B66" s="280"/>
      <c r="C66" s="281" t="str">
        <f>IF(R66&lt;&gt;"",VLOOKUP(R66,BERAHLAK!$B$5:$C$53,2,FALSE),"")</f>
        <v>- Menjaga rahasia jabatan dan negara</v>
      </c>
      <c r="D66" s="258"/>
      <c r="E66" s="258"/>
      <c r="F66" s="258"/>
      <c r="G66" s="258"/>
      <c r="H66" s="258"/>
      <c r="I66" s="257" t="str">
        <f>IF(S66&lt;&gt;"",VLOOKUP(S66,BERAHLAK!$E$5:$F$53,2,FALSE),"")</f>
        <v/>
      </c>
      <c r="J66" s="261"/>
      <c r="K66" s="261"/>
      <c r="L66" s="262"/>
      <c r="M66" s="361"/>
      <c r="N66" s="357" t="str">
        <f>IF(T66&lt;&gt;"",VLOOKUP(T66,BERAHLAK!$H$5:$I$53,2,FALSE),"")</f>
        <v>Pimpinan: Selalu siap kapanpun pimpinan membutuhkan, yang bersangkutan siap membantu pimpinan meskipun di luar jam kerja.</v>
      </c>
      <c r="O66" s="115"/>
      <c r="R66" s="353" t="str">
        <f>'EVALUASI KINERJA KUANTI JF'!R66&amp;""</f>
        <v>5.3</v>
      </c>
      <c r="S66" s="354"/>
      <c r="T66" s="348" t="str">
        <f>'EVALUASI KINERJA KUANTI JF'!T66&amp;""</f>
        <v>5.2</v>
      </c>
      <c r="U66" s="86"/>
    </row>
    <row r="67" spans="1:21" s="108" customFormat="1" x14ac:dyDescent="0.25">
      <c r="A67" s="115"/>
      <c r="B67" s="275" t="str">
        <f>'SKP JF (KUANTITATIF)'!B60&amp;""</f>
        <v>6</v>
      </c>
      <c r="C67" s="455" t="str">
        <f>IF(R67&lt;&gt;"",VLOOKUP(R67,BERAHLAK!$B$5:$C$53,2,FALSE),"")</f>
        <v>Adaptif</v>
      </c>
      <c r="D67" s="456"/>
      <c r="E67" s="456"/>
      <c r="F67" s="456"/>
      <c r="G67" s="456"/>
      <c r="H67" s="456"/>
      <c r="I67" s="456"/>
      <c r="J67" s="456"/>
      <c r="K67" s="456"/>
      <c r="L67" s="456"/>
      <c r="M67" s="464"/>
      <c r="N67" s="463"/>
      <c r="O67" s="115"/>
      <c r="R67" s="353" t="str">
        <f>'EVALUASI KINERJA KUANTI JF'!R67&amp;""</f>
        <v>6.</v>
      </c>
      <c r="S67" s="86"/>
      <c r="T67" s="86"/>
      <c r="U67" s="86"/>
    </row>
    <row r="68" spans="1:21" s="108" customFormat="1" x14ac:dyDescent="0.25">
      <c r="A68" s="115"/>
      <c r="B68" s="276"/>
      <c r="C68" s="277" t="str">
        <f>IF(R68&lt;&gt;"",VLOOKUP(R68,BERAHLAK!$B$5:$C$53,2,FALSE),"")</f>
        <v>- Cepat menyesuaikan diri menghadapi perubahan</v>
      </c>
      <c r="D68" s="249"/>
      <c r="E68" s="249"/>
      <c r="F68" s="249"/>
      <c r="G68" s="249"/>
      <c r="H68" s="249"/>
      <c r="I68" s="278" t="s">
        <v>27</v>
      </c>
      <c r="J68" s="279"/>
      <c r="K68" s="252"/>
      <c r="L68" s="253"/>
      <c r="N68" s="670" t="str">
        <f>IF(T68&lt;&gt;"",VLOOKUP(T68,'UMPAN-BALIK'!$B$5:$C$53,2,FALSE),"")</f>
        <v>Pimpinan: antusias mempelajari hal baru terlihat dari upaya upaya yang bersangkutan ketika mendapat penugasan baru.</v>
      </c>
      <c r="O68" s="115"/>
      <c r="R68" s="353" t="str">
        <f>'EVALUASI KINERJA KUANTI JF'!R68&amp;""</f>
        <v>6.1</v>
      </c>
      <c r="S68" s="86"/>
      <c r="T68" s="348" t="str">
        <f>'EVALUASI KINERJA KUANTI JF'!T68&amp;""</f>
        <v>6.1</v>
      </c>
      <c r="U68" s="86"/>
    </row>
    <row r="69" spans="1:21" s="108" customFormat="1" ht="48.75" customHeight="1" x14ac:dyDescent="0.25">
      <c r="A69" s="115"/>
      <c r="B69" s="276"/>
      <c r="C69" s="282" t="str">
        <f>IF(R69&lt;&gt;"",VLOOKUP(R69,BERAHLAK!$B$5:$C$53,2,FALSE),"")</f>
        <v>- Terus berinovasi dan mengembangkan kreativitas</v>
      </c>
      <c r="D69" s="254"/>
      <c r="E69" s="254"/>
      <c r="F69" s="254"/>
      <c r="G69" s="254"/>
      <c r="H69" s="254"/>
      <c r="I69" s="608" t="str">
        <f>IF(S69&lt;&gt;"",VLOOKUP(S69,BERAHLAK!$E$5:$F$53,2,FALSE),"")</f>
        <v>- Tidak mengimplementasikan perkembangan teknologi untuk memperbaiki metode dan proses kerja.</v>
      </c>
      <c r="J69" s="536"/>
      <c r="K69" s="536"/>
      <c r="L69" s="537"/>
      <c r="N69" s="671"/>
      <c r="O69" s="115"/>
      <c r="R69" s="353" t="str">
        <f>'EVALUASI KINERJA KUANTI JF'!R69&amp;""</f>
        <v>6.2</v>
      </c>
      <c r="S69" s="352" t="str">
        <f>'EVALUASI KINERJA KUANTI JF'!S69&amp;""</f>
        <v>6.1.1</v>
      </c>
      <c r="T69" s="86"/>
      <c r="U69" s="86"/>
    </row>
    <row r="70" spans="1:21" s="108" customFormat="1" ht="65.25" customHeight="1" x14ac:dyDescent="0.25">
      <c r="A70" s="115"/>
      <c r="B70" s="280"/>
      <c r="C70" s="281" t="str">
        <f>IF(R70&lt;&gt;"",VLOOKUP(R70,BERAHLAK!$B$5:$C$53,2,FALSE),"")</f>
        <v>- Bertindak proaktif</v>
      </c>
      <c r="D70" s="258"/>
      <c r="E70" s="258"/>
      <c r="F70" s="258"/>
      <c r="G70" s="258"/>
      <c r="H70" s="258"/>
      <c r="I70" s="608" t="str">
        <f>IF(S70&lt;&gt;"",VLOOKUP(S70,BERAHLAK!$E$5:$F$53,2,FALSE),"")</f>
        <v/>
      </c>
      <c r="J70" s="536"/>
      <c r="K70" s="536"/>
      <c r="L70" s="537"/>
      <c r="N70" s="357" t="str">
        <f>IF(T70&lt;&gt;"",VLOOKUP(T70,'UMPAN-BALIK'!$B$5:$C$53,2,FALSE),"")</f>
        <v>Pimpinan: Ketika ada perubahan arah strategi dari pimpinan langsung ditindaklanjuti dengan penyesuaian dan resisten.</v>
      </c>
      <c r="O70" s="115"/>
      <c r="R70" s="353" t="str">
        <f>'EVALUASI KINERJA KUANTI JF'!R70&amp;""</f>
        <v>6.3</v>
      </c>
      <c r="S70" s="354"/>
      <c r="T70" s="348" t="str">
        <f>'EVALUASI KINERJA KUANTI JF'!T70&amp;""</f>
        <v>6.2</v>
      </c>
      <c r="U70" s="86"/>
    </row>
    <row r="71" spans="1:21" s="108" customFormat="1" ht="19.5" customHeight="1" x14ac:dyDescent="0.25">
      <c r="A71" s="115"/>
      <c r="B71" s="275" t="str">
        <f>'SKP JF (KUANTITATIF)'!B64&amp;""</f>
        <v>7</v>
      </c>
      <c r="C71" s="455" t="str">
        <f>IF(R71&lt;&gt;"",VLOOKUP(R71,BERAHLAK!$B$5:$C$53,2,FALSE),"")</f>
        <v>Kolaboratif</v>
      </c>
      <c r="D71" s="456"/>
      <c r="E71" s="456"/>
      <c r="F71" s="456"/>
      <c r="G71" s="456"/>
      <c r="H71" s="456"/>
      <c r="I71" s="456"/>
      <c r="J71" s="456"/>
      <c r="K71" s="456"/>
      <c r="L71" s="456"/>
      <c r="M71" s="459"/>
      <c r="N71" s="463"/>
      <c r="O71" s="115"/>
      <c r="R71" s="353" t="str">
        <f>'EVALUASI KINERJA KUANTI JF'!R71&amp;""</f>
        <v>7.</v>
      </c>
      <c r="S71" s="668" t="str">
        <f>IF(S78="Sangat Baik","C",IF(S78="Baik","J",IF(S78="Cukup","K",IF(S78="Kurang","L",""))))</f>
        <v>C</v>
      </c>
      <c r="T71" s="105"/>
      <c r="U71" s="86"/>
    </row>
    <row r="72" spans="1:21" s="108" customFormat="1" x14ac:dyDescent="0.25">
      <c r="A72" s="115"/>
      <c r="B72" s="276"/>
      <c r="C72" s="277" t="str">
        <f>IF(R72&lt;&gt;"",VLOOKUP(R72,BERAHLAK!$B$5:$C$53,2,FALSE),"")</f>
        <v>- Memberi kesempatan kepada berbagai pihak untuk berkontribusi</v>
      </c>
      <c r="D72" s="249"/>
      <c r="E72" s="249"/>
      <c r="F72" s="249"/>
      <c r="G72" s="249"/>
      <c r="H72" s="249"/>
      <c r="I72" s="278" t="s">
        <v>27</v>
      </c>
      <c r="J72" s="279"/>
      <c r="K72" s="252"/>
      <c r="L72" s="253"/>
      <c r="N72" s="670" t="str">
        <f>IF(T72&lt;&gt;"",VLOOKUP(T72,'UMPAN-BALIK'!$B$5:$C$53,2,FALSE),"")</f>
        <v>Teman sejawat: Sangat terbuka terhadap masukan dari teman sejawat karena ketika dialog selalu 2 arah.</v>
      </c>
      <c r="O72" s="115"/>
      <c r="R72" s="353" t="str">
        <f>'EVALUASI KINERJA KUANTI JF'!R72&amp;""</f>
        <v>7.1</v>
      </c>
      <c r="S72" s="669"/>
      <c r="T72" s="348" t="str">
        <f>'EVALUASI KINERJA KUANTI JF'!T72&amp;""</f>
        <v>7.1</v>
      </c>
      <c r="U72" s="86"/>
    </row>
    <row r="73" spans="1:21" s="108" customFormat="1" ht="36.75" customHeight="1" x14ac:dyDescent="0.25">
      <c r="A73" s="115"/>
      <c r="B73" s="276"/>
      <c r="C73" s="282" t="str">
        <f>IF(R73&lt;&gt;"",VLOOKUP(R73,BERAHLAK!$B$5:$C$53,2,FALSE),"")</f>
        <v>- Terbuka dalam bekerja sama untuk menghasilkan nilai tambah</v>
      </c>
      <c r="D73" s="254"/>
      <c r="E73" s="254"/>
      <c r="F73" s="254"/>
      <c r="G73" s="254"/>
      <c r="H73" s="254"/>
      <c r="I73" s="608" t="str">
        <f>IF(S73&lt;&gt;"",VLOOKUP(S73,BERAHLAK!$E$5:$F$53,2,FALSE),"")</f>
        <v>- Aktif berpartisipasi sesuai keahliannya pada project unit kerja</v>
      </c>
      <c r="J73" s="536"/>
      <c r="K73" s="536"/>
      <c r="L73" s="537"/>
      <c r="N73" s="671"/>
      <c r="O73" s="115"/>
      <c r="R73" s="353" t="str">
        <f>'EVALUASI KINERJA KUANTI JF'!R73&amp;""</f>
        <v>7.2</v>
      </c>
      <c r="S73" s="352" t="str">
        <f>'EVALUASI KINERJA KUANTI JF'!S73&amp;""</f>
        <v>7.1</v>
      </c>
      <c r="T73" s="86"/>
      <c r="U73" s="86"/>
    </row>
    <row r="74" spans="1:21" s="108" customFormat="1" ht="36.75" customHeight="1" x14ac:dyDescent="0.25">
      <c r="A74" s="115"/>
      <c r="B74" s="280"/>
      <c r="C74" s="281" t="str">
        <f>IF(R74&lt;&gt;"",VLOOKUP(R74,BERAHLAK!$B$5:$C$53,2,FALSE),"")</f>
        <v>- Menggerakkan pemanfaatan berbagai sumberdaya untuk tujuan bersama</v>
      </c>
      <c r="D74" s="258"/>
      <c r="E74" s="258"/>
      <c r="F74" s="258"/>
      <c r="G74" s="258"/>
      <c r="H74" s="258"/>
      <c r="I74" s="599" t="str">
        <f>IF(S74&lt;&gt;"",VLOOKUP(S74,BERAHLAK!$E$5:$F$53,2,FALSE),"")</f>
        <v>- Aktif berkontribusi sesuai keahliannya pada project unit kerja</v>
      </c>
      <c r="J74" s="539"/>
      <c r="K74" s="539"/>
      <c r="L74" s="540"/>
      <c r="N74" s="358" t="str">
        <f>IF(T74&lt;&gt;"",VLOOKUP(T74,BERAHLAK!$H$5:$I$53,2,FALSE),"")</f>
        <v/>
      </c>
      <c r="O74" s="115"/>
      <c r="R74" s="353" t="str">
        <f>'EVALUASI KINERJA KUANTI JF'!R74&amp;""</f>
        <v>7.3</v>
      </c>
      <c r="S74" s="352" t="str">
        <f>'EVALUASI KINERJA KUANTI JF'!S74&amp;""</f>
        <v>7.2</v>
      </c>
      <c r="T74" s="348" t="str">
        <f>'EVALUASI KINERJA KUANTI JF'!T74&amp;""</f>
        <v/>
      </c>
      <c r="U74" s="86"/>
    </row>
    <row r="75" spans="1:21" s="107" customFormat="1" ht="18" customHeight="1" x14ac:dyDescent="0.25">
      <c r="A75" s="114"/>
      <c r="B75" s="660" t="s">
        <v>73</v>
      </c>
      <c r="C75" s="661"/>
      <c r="D75" s="344"/>
      <c r="E75" s="344"/>
      <c r="F75" s="344"/>
      <c r="G75" s="344"/>
      <c r="H75" s="344"/>
      <c r="I75" s="344"/>
      <c r="J75" s="344"/>
      <c r="K75" s="344"/>
      <c r="L75" s="344"/>
      <c r="M75" s="344"/>
      <c r="N75" s="345"/>
      <c r="O75" s="114"/>
      <c r="R75" s="359" t="str">
        <f>'EVALUASI KINERJA KUANTI JF'!R75&amp;""</f>
        <v>21</v>
      </c>
      <c r="S75" s="360" t="str">
        <f>'EVALUASI KINERJA KUANTI JF'!S75&amp;""</f>
        <v>10</v>
      </c>
      <c r="T75" s="118"/>
      <c r="U75" s="118"/>
    </row>
    <row r="76" spans="1:21" s="107" customFormat="1" ht="18" customHeight="1" x14ac:dyDescent="0.25">
      <c r="A76" s="114"/>
      <c r="B76" s="662" t="str">
        <f>'EVALUASI KINERJA KUANTI JF'!B76</f>
        <v>SESUAI EKSPEKTASI</v>
      </c>
      <c r="C76" s="663"/>
      <c r="D76" s="346"/>
      <c r="E76" s="346"/>
      <c r="F76" s="346"/>
      <c r="G76" s="346"/>
      <c r="H76" s="346"/>
      <c r="I76" s="346"/>
      <c r="J76" s="346"/>
      <c r="K76" s="346"/>
      <c r="L76" s="346"/>
      <c r="M76" s="346"/>
      <c r="N76" s="347"/>
      <c r="O76" s="114"/>
      <c r="R76" s="285">
        <f>COUNTA(R48:R50,R52:R54,R56:R58,R60:R62,R64:R66,R68:R70,R72:R74)</f>
        <v>21</v>
      </c>
      <c r="S76" s="285">
        <f>COUNTA(S49:S50,S53,S57:S58,S61:S62,S65,S69,S73:S74)</f>
        <v>11</v>
      </c>
      <c r="T76" s="118"/>
      <c r="U76" s="118"/>
    </row>
    <row r="77" spans="1:21" s="107" customFormat="1" ht="18" customHeight="1" x14ac:dyDescent="0.25">
      <c r="A77" s="114"/>
      <c r="B77" s="660" t="s">
        <v>74</v>
      </c>
      <c r="C77" s="661"/>
      <c r="D77" s="664"/>
      <c r="E77" s="344"/>
      <c r="F77" s="344"/>
      <c r="G77" s="344"/>
      <c r="H77" s="344"/>
      <c r="I77" s="344"/>
      <c r="J77" s="344"/>
      <c r="K77" s="344"/>
      <c r="L77" s="344"/>
      <c r="M77" s="344"/>
      <c r="N77" s="345"/>
      <c r="O77" s="114"/>
      <c r="R77" s="230">
        <f>(R75/R76)*100</f>
        <v>100</v>
      </c>
      <c r="S77" s="231">
        <f>(S75/S76)*100</f>
        <v>90.909090909090907</v>
      </c>
      <c r="T77" s="118"/>
      <c r="U77" s="118"/>
    </row>
    <row r="78" spans="1:21" s="107" customFormat="1" ht="18" customHeight="1" x14ac:dyDescent="0.25">
      <c r="A78" s="114"/>
      <c r="B78" s="665" t="str">
        <f>VLOOKUP(B45&amp;B76,KUADRAN!$D$4:$E$21,2,0)</f>
        <v>BAIK</v>
      </c>
      <c r="C78" s="666"/>
      <c r="D78" s="122"/>
      <c r="E78" s="122"/>
      <c r="F78" s="122"/>
      <c r="G78" s="122"/>
      <c r="H78" s="122"/>
      <c r="I78" s="122"/>
      <c r="J78" s="122"/>
      <c r="K78" s="122"/>
      <c r="L78" s="122"/>
      <c r="M78" s="122"/>
      <c r="N78" s="123"/>
      <c r="O78" s="114"/>
      <c r="R78" s="232">
        <f>AVERAGE(R77:S77)</f>
        <v>95.454545454545453</v>
      </c>
      <c r="S78" s="233" t="str">
        <f>IF(R78&lt;=50,("Buruk"),IF(R78&lt;=60,("Kurang"),IF(R78&lt;=75,("Cukup"),IF(R78&lt;=90,("Baik"),("Sangat Baik")))))</f>
        <v>Sangat Baik</v>
      </c>
      <c r="T78" s="118"/>
      <c r="U78" s="118"/>
    </row>
    <row r="79" spans="1:21" x14ac:dyDescent="0.25">
      <c r="A79" s="110"/>
      <c r="O79" s="110"/>
    </row>
    <row r="80" spans="1:21" x14ac:dyDescent="0.25">
      <c r="A80" s="110"/>
      <c r="O80" s="110"/>
    </row>
    <row r="81" spans="1:15" x14ac:dyDescent="0.25">
      <c r="A81" s="110"/>
      <c r="O81" s="110"/>
    </row>
    <row r="82" spans="1:15" x14ac:dyDescent="0.25">
      <c r="A82" s="110"/>
      <c r="J82" s="667" t="str">
        <f>'00 DATA'!N8&amp;", "&amp;'00 DATA'!N9&amp;""</f>
        <v>Kotabumi , 31 Desember 2022</v>
      </c>
      <c r="K82" s="667"/>
      <c r="L82" s="667"/>
      <c r="M82" s="667"/>
      <c r="N82" s="667"/>
      <c r="O82" s="110"/>
    </row>
    <row r="83" spans="1:15" x14ac:dyDescent="0.25">
      <c r="A83" s="110"/>
      <c r="B83" s="69"/>
      <c r="C83" s="69"/>
      <c r="D83" s="69"/>
      <c r="E83" s="69"/>
      <c r="F83" s="69"/>
      <c r="G83" s="69"/>
      <c r="H83" s="69"/>
      <c r="I83" s="69"/>
      <c r="J83" s="667" t="s">
        <v>53</v>
      </c>
      <c r="K83" s="667"/>
      <c r="L83" s="667"/>
      <c r="M83" s="667"/>
      <c r="N83" s="667"/>
      <c r="O83" s="110"/>
    </row>
    <row r="84" spans="1:15" x14ac:dyDescent="0.25">
      <c r="A84" s="110"/>
      <c r="B84" s="69"/>
      <c r="C84" s="69"/>
      <c r="D84" s="69"/>
      <c r="E84" s="69"/>
      <c r="F84" s="69"/>
      <c r="G84" s="69"/>
      <c r="H84" s="69"/>
      <c r="I84" s="69"/>
      <c r="J84" s="542"/>
      <c r="K84" s="542"/>
      <c r="L84" s="542"/>
      <c r="M84" s="542"/>
      <c r="N84" s="542"/>
      <c r="O84" s="110"/>
    </row>
    <row r="85" spans="1:15" x14ac:dyDescent="0.25">
      <c r="A85" s="110"/>
      <c r="B85" s="69"/>
      <c r="C85" s="69"/>
      <c r="D85" s="69"/>
      <c r="E85" s="69"/>
      <c r="F85" s="69"/>
      <c r="G85" s="69"/>
      <c r="H85" s="69"/>
      <c r="I85" s="69"/>
      <c r="J85" s="542"/>
      <c r="K85" s="542"/>
      <c r="L85" s="542"/>
      <c r="M85" s="542"/>
      <c r="N85" s="542"/>
      <c r="O85" s="110"/>
    </row>
    <row r="86" spans="1:15" x14ac:dyDescent="0.25">
      <c r="A86" s="110"/>
      <c r="B86" s="69"/>
      <c r="C86" s="69"/>
      <c r="D86" s="69"/>
      <c r="E86" s="69"/>
      <c r="F86" s="69"/>
      <c r="G86" s="69"/>
      <c r="H86" s="69"/>
      <c r="I86" s="69"/>
      <c r="J86" s="542"/>
      <c r="K86" s="542"/>
      <c r="L86" s="542"/>
      <c r="M86" s="542"/>
      <c r="N86" s="542"/>
      <c r="O86" s="110"/>
    </row>
    <row r="87" spans="1:15" x14ac:dyDescent="0.25">
      <c r="A87" s="110"/>
      <c r="B87" s="69"/>
      <c r="C87" s="69"/>
      <c r="D87" s="69"/>
      <c r="E87" s="69"/>
      <c r="F87" s="69"/>
      <c r="G87" s="69"/>
      <c r="H87" s="69"/>
      <c r="I87" s="69"/>
      <c r="J87" s="585" t="str">
        <f>"("&amp;L9&amp;")"</f>
        <v>(TUTI ROSPASARI, S.Pd. M.Pd.)</v>
      </c>
      <c r="K87" s="585"/>
      <c r="L87" s="585"/>
      <c r="M87" s="585"/>
      <c r="N87" s="585"/>
      <c r="O87" s="110"/>
    </row>
    <row r="88" spans="1:15" x14ac:dyDescent="0.25">
      <c r="A88" s="110"/>
      <c r="B88" s="69"/>
      <c r="C88" s="69"/>
      <c r="D88" s="69"/>
      <c r="E88" s="69"/>
      <c r="F88" s="69"/>
      <c r="G88" s="69"/>
      <c r="H88" s="69"/>
      <c r="I88" s="69"/>
      <c r="J88" s="542" t="str">
        <f>"NIP. "&amp;L10&amp;""</f>
        <v>NIP. 19721025 199802 2 003</v>
      </c>
      <c r="K88" s="542"/>
      <c r="L88" s="542"/>
      <c r="M88" s="542"/>
      <c r="N88" s="542"/>
      <c r="O88" s="110"/>
    </row>
    <row r="89" spans="1:15" x14ac:dyDescent="0.25">
      <c r="A89" s="110"/>
      <c r="O89" s="110"/>
    </row>
    <row r="90" spans="1:15" x14ac:dyDescent="0.25">
      <c r="A90" s="110"/>
      <c r="O90" s="110"/>
    </row>
    <row r="91" spans="1:15" ht="25.5" customHeight="1" x14ac:dyDescent="0.25">
      <c r="A91" s="110"/>
      <c r="B91" s="110"/>
      <c r="C91" s="110"/>
      <c r="D91" s="110"/>
      <c r="E91" s="110"/>
      <c r="F91" s="110"/>
      <c r="G91" s="110"/>
      <c r="H91" s="110"/>
      <c r="I91" s="110"/>
      <c r="J91" s="110"/>
      <c r="K91" s="110"/>
      <c r="L91" s="110"/>
      <c r="M91" s="110"/>
      <c r="N91" s="110"/>
      <c r="O91" s="110"/>
    </row>
    <row r="101" spans="14:14" x14ac:dyDescent="0.25">
      <c r="N101" s="105"/>
    </row>
    <row r="102" spans="14:14" x14ac:dyDescent="0.25">
      <c r="N102" s="63"/>
    </row>
    <row r="103" spans="14:14" x14ac:dyDescent="0.25">
      <c r="N103" s="63"/>
    </row>
  </sheetData>
  <sheetProtection algorithmName="SHA-512" hashValue="2q2c1hzgKkjBcR2+bREmvTkZ4flkv5jvq2OkctgBXlxrCXVy1iCzv9dWRGb/sXph4+TZz6or0ltq3Z1dWF7sxw==" saltValue="M8owlOBqr6Reh4hnR8sSPQ==" spinCount="100000" sheet="1" objects="1" scenarios="1"/>
  <mergeCells count="122">
    <mergeCell ref="N68:N69"/>
    <mergeCell ref="N72:N73"/>
    <mergeCell ref="J84:N84"/>
    <mergeCell ref="J85:N85"/>
    <mergeCell ref="J86:N86"/>
    <mergeCell ref="J87:N87"/>
    <mergeCell ref="J88:N88"/>
    <mergeCell ref="N48:N49"/>
    <mergeCell ref="N52:N53"/>
    <mergeCell ref="N56:N57"/>
    <mergeCell ref="N60:N61"/>
    <mergeCell ref="N64:N65"/>
    <mergeCell ref="B75:C75"/>
    <mergeCell ref="B76:C76"/>
    <mergeCell ref="B77:D77"/>
    <mergeCell ref="B78:C78"/>
    <mergeCell ref="J82:N82"/>
    <mergeCell ref="J83:N83"/>
    <mergeCell ref="I70:L70"/>
    <mergeCell ref="S71:S72"/>
    <mergeCell ref="I73:L73"/>
    <mergeCell ref="I74:L74"/>
    <mergeCell ref="C64:H64"/>
    <mergeCell ref="I65:L65"/>
    <mergeCell ref="I69:L69"/>
    <mergeCell ref="I58:L58"/>
    <mergeCell ref="I61:L61"/>
    <mergeCell ref="I62:L62"/>
    <mergeCell ref="C52:H52"/>
    <mergeCell ref="C53:H53"/>
    <mergeCell ref="I53:L53"/>
    <mergeCell ref="I57:L57"/>
    <mergeCell ref="R42:V42"/>
    <mergeCell ref="G43:H43"/>
    <mergeCell ref="B45:C45"/>
    <mergeCell ref="M46:N46"/>
    <mergeCell ref="I50:L50"/>
    <mergeCell ref="B37:N37"/>
    <mergeCell ref="B41:B43"/>
    <mergeCell ref="C41:C43"/>
    <mergeCell ref="D41:E43"/>
    <mergeCell ref="G41:H41"/>
    <mergeCell ref="G42:H42"/>
    <mergeCell ref="I49:L49"/>
    <mergeCell ref="B38:B40"/>
    <mergeCell ref="C38:C40"/>
    <mergeCell ref="D38:E40"/>
    <mergeCell ref="G38:H38"/>
    <mergeCell ref="G39:H39"/>
    <mergeCell ref="R39:V39"/>
    <mergeCell ref="G40:H40"/>
    <mergeCell ref="B34:B36"/>
    <mergeCell ref="C34:C36"/>
    <mergeCell ref="D34:E36"/>
    <mergeCell ref="G34:H34"/>
    <mergeCell ref="G35:H35"/>
    <mergeCell ref="G36:H36"/>
    <mergeCell ref="B31:B33"/>
    <mergeCell ref="C31:C33"/>
    <mergeCell ref="D31:E33"/>
    <mergeCell ref="G31:H31"/>
    <mergeCell ref="G32:H32"/>
    <mergeCell ref="G33:H33"/>
    <mergeCell ref="B28:B30"/>
    <mergeCell ref="C28:C30"/>
    <mergeCell ref="D28:E30"/>
    <mergeCell ref="G28:H28"/>
    <mergeCell ref="G29:H29"/>
    <mergeCell ref="G30:H30"/>
    <mergeCell ref="B25:B27"/>
    <mergeCell ref="C25:C27"/>
    <mergeCell ref="D25:E27"/>
    <mergeCell ref="G25:H25"/>
    <mergeCell ref="G26:H26"/>
    <mergeCell ref="G27:H27"/>
    <mergeCell ref="D20:E20"/>
    <mergeCell ref="G20:H20"/>
    <mergeCell ref="K20:L20"/>
    <mergeCell ref="B21:N21"/>
    <mergeCell ref="B22:B24"/>
    <mergeCell ref="C22:C24"/>
    <mergeCell ref="D22:E24"/>
    <mergeCell ref="G22:H22"/>
    <mergeCell ref="G23:H23"/>
    <mergeCell ref="G24:H24"/>
    <mergeCell ref="B14:N14"/>
    <mergeCell ref="B15:N15"/>
    <mergeCell ref="B16:N16"/>
    <mergeCell ref="B17:N17"/>
    <mergeCell ref="B18:N18"/>
    <mergeCell ref="D19:E19"/>
    <mergeCell ref="G19:H19"/>
    <mergeCell ref="K19:L19"/>
    <mergeCell ref="M19:N19"/>
    <mergeCell ref="C12:D12"/>
    <mergeCell ref="E12:G12"/>
    <mergeCell ref="I12:K12"/>
    <mergeCell ref="L12:N12"/>
    <mergeCell ref="C13:D13"/>
    <mergeCell ref="E13:G13"/>
    <mergeCell ref="I13:K13"/>
    <mergeCell ref="L13:N13"/>
    <mergeCell ref="C10:D10"/>
    <mergeCell ref="E10:G10"/>
    <mergeCell ref="I10:K10"/>
    <mergeCell ref="L10:N10"/>
    <mergeCell ref="C11:D11"/>
    <mergeCell ref="E11:G11"/>
    <mergeCell ref="I11:K11"/>
    <mergeCell ref="L11:N11"/>
    <mergeCell ref="C8:G8"/>
    <mergeCell ref="I8:N8"/>
    <mergeCell ref="C9:D9"/>
    <mergeCell ref="E9:G9"/>
    <mergeCell ref="I9:K9"/>
    <mergeCell ref="L9:N9"/>
    <mergeCell ref="B2:N2"/>
    <mergeCell ref="B3:N3"/>
    <mergeCell ref="B4:N4"/>
    <mergeCell ref="B6:N6"/>
    <mergeCell ref="B7:G7"/>
    <mergeCell ref="H7:J7"/>
  </mergeCells>
  <dataValidations count="1">
    <dataValidation type="list" allowBlank="1" showInputMessage="1" showErrorMessage="1" sqref="B76 B45">
      <formula1>"DI ATAS EKSPEKTASI,SESUAI EKSPEKTASI,DI BAWAH EKSPEKTASI,DI ATAS EKSPEKTASI/ SESUAI EKSPEKTASI/ DIBAWAH EKSPEKTASI**"</formula1>
    </dataValidation>
  </dataValidations>
  <hyperlinks>
    <hyperlink ref="O1" location="HOME!A1" display="HOME"/>
  </hyperlinks>
  <printOptions horizontalCentered="1"/>
  <pageMargins left="0.59055118110236227" right="0.59055118110236227" top="0.59055118110236227" bottom="0.59055118110236227" header="0.31496062992125984" footer="0.39370078740157483"/>
  <pageSetup paperSize="9" scale="63" orientation="landscape" r:id="rId1"/>
  <headerFooter>
    <oddFooter>&amp;CHASIL EVALUASI KINERJA PEGAWAI&amp;R&amp;P</oddFooter>
  </headerFooter>
  <rowBreaks count="3" manualBreakCount="3">
    <brk id="27" min="1" max="13" man="1"/>
    <brk id="45" min="1" max="13" man="1"/>
    <brk id="66" min="1" max="13" man="1"/>
  </rowBreaks>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F51"/>
  <sheetViews>
    <sheetView showGridLines="0" showRowColHeaders="0" zoomScale="85" zoomScaleNormal="85" workbookViewId="0">
      <pane xSplit="1" ySplit="9" topLeftCell="B18" activePane="bottomRight" state="frozen"/>
      <selection pane="topRight" activeCell="B1" sqref="B1"/>
      <selection pane="bottomLeft" activeCell="A10" sqref="A10"/>
      <selection pane="bottomRight"/>
    </sheetView>
  </sheetViews>
  <sheetFormatPr defaultRowHeight="15" x14ac:dyDescent="0.25"/>
  <cols>
    <col min="1" max="1" width="5.85546875" customWidth="1"/>
    <col min="2" max="2" width="4.7109375" style="10" customWidth="1"/>
    <col min="3" max="3" width="37.7109375" customWidth="1"/>
    <col min="4" max="4" width="4.7109375" style="10" customWidth="1"/>
    <col min="5" max="5" width="50.7109375" customWidth="1"/>
    <col min="6" max="6" width="7" customWidth="1"/>
  </cols>
  <sheetData>
    <row r="1" spans="1:6" ht="23.25" customHeight="1" x14ac:dyDescent="0.35">
      <c r="A1" s="89"/>
      <c r="B1" s="235"/>
      <c r="C1" s="89"/>
      <c r="D1" s="235"/>
      <c r="E1" s="89"/>
      <c r="F1" s="72" t="s">
        <v>255</v>
      </c>
    </row>
    <row r="2" spans="1:6" x14ac:dyDescent="0.35">
      <c r="A2" s="89"/>
      <c r="F2" s="365" t="s">
        <v>305</v>
      </c>
    </row>
    <row r="3" spans="1:6" ht="14.45" x14ac:dyDescent="0.35">
      <c r="A3" s="89"/>
      <c r="F3" s="89"/>
    </row>
    <row r="4" spans="1:6" ht="14.45" x14ac:dyDescent="0.35">
      <c r="A4" s="89"/>
      <c r="F4" s="89"/>
    </row>
    <row r="5" spans="1:6" ht="14.45" x14ac:dyDescent="0.35">
      <c r="A5" s="89"/>
      <c r="F5" s="89"/>
    </row>
    <row r="6" spans="1:6" ht="14.45" x14ac:dyDescent="0.35">
      <c r="A6" s="89"/>
      <c r="F6" s="89"/>
    </row>
    <row r="7" spans="1:6" ht="14.45" x14ac:dyDescent="0.35">
      <c r="A7" s="89"/>
      <c r="F7" s="89"/>
    </row>
    <row r="8" spans="1:6" ht="14.45" x14ac:dyDescent="0.35">
      <c r="A8" s="89"/>
      <c r="F8" s="89"/>
    </row>
    <row r="9" spans="1:6" ht="14.45" x14ac:dyDescent="0.35">
      <c r="A9" s="89"/>
      <c r="F9" s="89"/>
    </row>
    <row r="10" spans="1:6" ht="15.6" x14ac:dyDescent="0.35">
      <c r="A10" s="89"/>
      <c r="B10" s="585" t="s">
        <v>75</v>
      </c>
      <c r="C10" s="585"/>
      <c r="D10" s="585"/>
      <c r="E10" s="585"/>
      <c r="F10" s="89"/>
    </row>
    <row r="11" spans="1:6" ht="15.6" x14ac:dyDescent="0.35">
      <c r="A11" s="89"/>
      <c r="B11" s="69"/>
      <c r="C11" s="63"/>
      <c r="D11" s="69"/>
      <c r="E11" s="63"/>
      <c r="F11" s="89"/>
    </row>
    <row r="12" spans="1:6" ht="15.6" x14ac:dyDescent="0.35">
      <c r="A12" s="89"/>
      <c r="B12" s="673" t="s">
        <v>284</v>
      </c>
      <c r="C12" s="674"/>
      <c r="D12" s="674"/>
      <c r="E12" s="674"/>
      <c r="F12" s="89"/>
    </row>
    <row r="13" spans="1:6" ht="15.6" x14ac:dyDescent="0.35">
      <c r="A13" s="89"/>
      <c r="B13" s="290"/>
      <c r="C13" s="290"/>
      <c r="D13" s="290"/>
      <c r="E13" s="290"/>
      <c r="F13" s="89"/>
    </row>
    <row r="14" spans="1:6" ht="15.75" x14ac:dyDescent="0.25">
      <c r="A14" s="89"/>
      <c r="B14" s="675" t="str">
        <f>'SKP JF (KUANTITATIF)'!B6&amp;""</f>
        <v>DINAS PENDIDIKAN  KAB. LAMPUNG UTARA</v>
      </c>
      <c r="C14" s="675"/>
      <c r="D14" s="677" t="str">
        <f>"PERIODE PENILAIAN: "</f>
        <v xml:space="preserve">PERIODE PENILAIAN: </v>
      </c>
      <c r="E14" s="677"/>
      <c r="F14" s="89"/>
    </row>
    <row r="15" spans="1:6" ht="15.75" x14ac:dyDescent="0.25">
      <c r="A15" s="89"/>
      <c r="B15" s="676"/>
      <c r="C15" s="676"/>
      <c r="D15" s="678" t="str">
        <f>'EVALUASI KINERJA KUANTI JF (2)'!K7&amp;""</f>
        <v>01 JANUARI 2022 S.D 31 DESEMBER 2022</v>
      </c>
      <c r="E15" s="678"/>
      <c r="F15" s="89"/>
    </row>
    <row r="16" spans="1:6" ht="15.6" x14ac:dyDescent="0.35">
      <c r="A16" s="89"/>
      <c r="B16" s="292" t="s">
        <v>76</v>
      </c>
      <c r="C16" s="672" t="s">
        <v>3</v>
      </c>
      <c r="D16" s="672"/>
      <c r="E16" s="672"/>
      <c r="F16" s="89"/>
    </row>
    <row r="17" spans="1:6" ht="15.6" x14ac:dyDescent="0.35">
      <c r="A17" s="89"/>
      <c r="B17" s="293"/>
      <c r="C17" s="238" t="s">
        <v>5</v>
      </c>
      <c r="D17" s="238" t="s">
        <v>77</v>
      </c>
      <c r="E17" s="294" t="str">
        <f>'SKP JF (KUANTITATIF)'!D8&amp;""</f>
        <v>RUSLAN, S.Pd</v>
      </c>
      <c r="F17" s="89"/>
    </row>
    <row r="18" spans="1:6" ht="15.6" x14ac:dyDescent="0.35">
      <c r="A18" s="89"/>
      <c r="B18" s="293"/>
      <c r="C18" s="238" t="s">
        <v>6</v>
      </c>
      <c r="D18" s="238" t="s">
        <v>77</v>
      </c>
      <c r="E18" s="238" t="str">
        <f>'SKP JF (KUANTITATIF)'!D9&amp;""</f>
        <v>19660625 199112 1 001</v>
      </c>
      <c r="F18" s="89"/>
    </row>
    <row r="19" spans="1:6" ht="15.6" x14ac:dyDescent="0.35">
      <c r="A19" s="89"/>
      <c r="B19" s="293"/>
      <c r="C19" s="238" t="s">
        <v>7</v>
      </c>
      <c r="D19" s="238" t="s">
        <v>77</v>
      </c>
      <c r="E19" s="238" t="str">
        <f>'SKP JF (KUANTITATIF)'!D10&amp;""</f>
        <v xml:space="preserve">PEMBINA TK.I/ IV.b </v>
      </c>
      <c r="F19" s="89"/>
    </row>
    <row r="20" spans="1:6" ht="15.6" x14ac:dyDescent="0.35">
      <c r="A20" s="89"/>
      <c r="B20" s="293"/>
      <c r="C20" s="238" t="s">
        <v>8</v>
      </c>
      <c r="D20" s="238" t="s">
        <v>77</v>
      </c>
      <c r="E20" s="238" t="str">
        <f>'SKP JF (KUANTITATIF)'!D11&amp;""</f>
        <v>KEPALA SEKOLAH</v>
      </c>
      <c r="F20" s="89"/>
    </row>
    <row r="21" spans="1:6" ht="15.6" x14ac:dyDescent="0.35">
      <c r="A21" s="89"/>
      <c r="B21" s="293"/>
      <c r="C21" s="238" t="s">
        <v>9</v>
      </c>
      <c r="D21" s="238" t="s">
        <v>77</v>
      </c>
      <c r="E21" s="238" t="str">
        <f>'SKP JF (KUANTITATIF)'!D12&amp;""</f>
        <v>UPTD SDN 1 KOTABUMI TENGAH KAB. LAMPUNG UTARA</v>
      </c>
      <c r="F21" s="89"/>
    </row>
    <row r="22" spans="1:6" ht="15.6" x14ac:dyDescent="0.35">
      <c r="A22" s="89"/>
      <c r="B22" s="292" t="s">
        <v>78</v>
      </c>
      <c r="C22" s="680" t="s">
        <v>4</v>
      </c>
      <c r="D22" s="680"/>
      <c r="E22" s="680"/>
      <c r="F22" s="89"/>
    </row>
    <row r="23" spans="1:6" ht="15.6" x14ac:dyDescent="0.35">
      <c r="A23" s="89"/>
      <c r="B23" s="293"/>
      <c r="C23" s="238" t="s">
        <v>5</v>
      </c>
      <c r="D23" s="238" t="s">
        <v>77</v>
      </c>
      <c r="E23" s="294" t="str">
        <f>'EVALUASI KINERJA KUANTI JF'!L9&amp;""</f>
        <v>TUTI ROSPASARI, S.Pd. M.Pd.</v>
      </c>
      <c r="F23" s="89"/>
    </row>
    <row r="24" spans="1:6" ht="15.6" x14ac:dyDescent="0.35">
      <c r="A24" s="89"/>
      <c r="B24" s="293"/>
      <c r="C24" s="238" t="s">
        <v>6</v>
      </c>
      <c r="D24" s="238" t="s">
        <v>77</v>
      </c>
      <c r="E24" s="238" t="str">
        <f>'EVALUASI KINERJA KUANTI JF'!L10&amp;""</f>
        <v>19721025 199802 2 003</v>
      </c>
      <c r="F24" s="89"/>
    </row>
    <row r="25" spans="1:6" ht="15.6" x14ac:dyDescent="0.35">
      <c r="A25" s="89"/>
      <c r="B25" s="293"/>
      <c r="C25" s="238" t="s">
        <v>7</v>
      </c>
      <c r="D25" s="238" t="s">
        <v>77</v>
      </c>
      <c r="E25" s="238" t="str">
        <f>'EVALUASI KINERJA KUANTI JF'!L11&amp;""</f>
        <v xml:space="preserve">PEMBINA TK.I (IV/b) </v>
      </c>
      <c r="F25" s="89"/>
    </row>
    <row r="26" spans="1:6" ht="15.6" x14ac:dyDescent="0.35">
      <c r="A26" s="89"/>
      <c r="B26" s="293"/>
      <c r="C26" s="238" t="s">
        <v>8</v>
      </c>
      <c r="D26" s="238" t="s">
        <v>77</v>
      </c>
      <c r="E26" s="238" t="str">
        <f>'EVALUASI KINERJA KUANTI JF'!L12&amp;""</f>
        <v>SEKRETARIS DINAS</v>
      </c>
      <c r="F26" s="89"/>
    </row>
    <row r="27" spans="1:6" ht="33" customHeight="1" x14ac:dyDescent="0.35">
      <c r="A27" s="89"/>
      <c r="B27" s="293"/>
      <c r="C27" s="238" t="s">
        <v>9</v>
      </c>
      <c r="D27" s="238" t="s">
        <v>77</v>
      </c>
      <c r="E27" s="238" t="str">
        <f>'EVALUASI KINERJA KUANTI JF'!L13&amp;""</f>
        <v>DINAS PENDIDIKAN  KAB. LAMPUNG UTARA</v>
      </c>
      <c r="F27" s="89"/>
    </row>
    <row r="28" spans="1:6" ht="15.6" x14ac:dyDescent="0.35">
      <c r="A28" s="89"/>
      <c r="B28" s="292" t="s">
        <v>79</v>
      </c>
      <c r="C28" s="680" t="s">
        <v>80</v>
      </c>
      <c r="D28" s="680"/>
      <c r="E28" s="680"/>
      <c r="F28" s="89"/>
    </row>
    <row r="29" spans="1:6" ht="15.6" x14ac:dyDescent="0.35">
      <c r="A29" s="89"/>
      <c r="B29" s="293"/>
      <c r="C29" s="238" t="s">
        <v>5</v>
      </c>
      <c r="D29" s="238" t="s">
        <v>77</v>
      </c>
      <c r="E29" s="294" t="str">
        <f>'00 DATA'!F20&amp;""</f>
        <v>SUKATNO, S.H.</v>
      </c>
      <c r="F29" s="89"/>
    </row>
    <row r="30" spans="1:6" ht="15.6" x14ac:dyDescent="0.35">
      <c r="A30" s="89"/>
      <c r="B30" s="293"/>
      <c r="C30" s="238" t="s">
        <v>6</v>
      </c>
      <c r="D30" s="238" t="s">
        <v>77</v>
      </c>
      <c r="E30" s="238" t="str">
        <f>'00 DATA'!F21&amp;""</f>
        <v>19721001 199201 1 002</v>
      </c>
      <c r="F30" s="89"/>
    </row>
    <row r="31" spans="1:6" ht="15.6" x14ac:dyDescent="0.35">
      <c r="A31" s="89"/>
      <c r="B31" s="293"/>
      <c r="C31" s="238" t="s">
        <v>7</v>
      </c>
      <c r="D31" s="238" t="s">
        <v>77</v>
      </c>
      <c r="E31" s="238" t="str">
        <f>'00 DATA'!F22&amp;""</f>
        <v xml:space="preserve">PEMBINA TK.I (IV/b) </v>
      </c>
      <c r="F31" s="89"/>
    </row>
    <row r="32" spans="1:6" ht="15.6" x14ac:dyDescent="0.35">
      <c r="A32" s="89"/>
      <c r="B32" s="293"/>
      <c r="C32" s="238" t="s">
        <v>8</v>
      </c>
      <c r="D32" s="238" t="s">
        <v>77</v>
      </c>
      <c r="E32" s="238" t="str">
        <f>'00 DATA'!F23&amp;""</f>
        <v>KEPALA DINAS</v>
      </c>
      <c r="F32" s="89"/>
    </row>
    <row r="33" spans="1:6" ht="33" customHeight="1" x14ac:dyDescent="0.35">
      <c r="A33" s="89"/>
      <c r="B33" s="293"/>
      <c r="C33" s="238" t="s">
        <v>9</v>
      </c>
      <c r="D33" s="238" t="s">
        <v>77</v>
      </c>
      <c r="E33" s="238" t="str">
        <f>'00 DATA'!F24&amp;" "&amp;'00 DATA'!D25&amp;" "&amp;'00 DATA'!F25&amp;""</f>
        <v>DINAS PENDIDIKAN  KAB. LAMPUNG UTARA</v>
      </c>
      <c r="F33" s="89"/>
    </row>
    <row r="34" spans="1:6" ht="15.6" x14ac:dyDescent="0.35">
      <c r="A34" s="89"/>
      <c r="B34" s="292" t="s">
        <v>81</v>
      </c>
      <c r="C34" s="680" t="s">
        <v>82</v>
      </c>
      <c r="D34" s="680"/>
      <c r="E34" s="680"/>
      <c r="F34" s="89"/>
    </row>
    <row r="35" spans="1:6" ht="21.75" customHeight="1" x14ac:dyDescent="0.35">
      <c r="A35" s="89"/>
      <c r="B35" s="293"/>
      <c r="C35" s="238" t="s">
        <v>83</v>
      </c>
      <c r="D35" s="238" t="s">
        <v>77</v>
      </c>
      <c r="E35" s="294" t="str">
        <f>'EVALUASI KINERJA KUANTI JF'!B15&amp;""</f>
        <v>BAIK</v>
      </c>
      <c r="F35" s="89"/>
    </row>
    <row r="36" spans="1:6" ht="21.75" customHeight="1" x14ac:dyDescent="0.35">
      <c r="A36" s="89"/>
      <c r="B36" s="293"/>
      <c r="C36" s="238" t="s">
        <v>84</v>
      </c>
      <c r="D36" s="238" t="s">
        <v>77</v>
      </c>
      <c r="E36" s="294" t="str">
        <f>'EVALUASI KINERJA KUANTI JF'!B78&amp;""</f>
        <v>BAIK</v>
      </c>
      <c r="F36" s="89"/>
    </row>
    <row r="37" spans="1:6" ht="15.6" x14ac:dyDescent="0.35">
      <c r="A37" s="89"/>
      <c r="B37" s="292" t="s">
        <v>85</v>
      </c>
      <c r="C37" s="681" t="s">
        <v>86</v>
      </c>
      <c r="D37" s="681"/>
      <c r="E37" s="681"/>
      <c r="F37" s="89"/>
    </row>
    <row r="38" spans="1:6" ht="41.25" customHeight="1" x14ac:dyDescent="0.35">
      <c r="A38" s="89"/>
      <c r="B38" s="295"/>
      <c r="C38" s="682"/>
      <c r="D38" s="683"/>
      <c r="E38" s="684"/>
      <c r="F38" s="89"/>
    </row>
    <row r="39" spans="1:6" ht="15.6" x14ac:dyDescent="0.35">
      <c r="A39" s="89"/>
      <c r="B39" s="290"/>
      <c r="C39" s="291"/>
      <c r="D39" s="290"/>
      <c r="E39" s="291"/>
      <c r="F39" s="89"/>
    </row>
    <row r="40" spans="1:6" ht="15.6" x14ac:dyDescent="0.35">
      <c r="A40" s="89"/>
      <c r="B40" s="290"/>
      <c r="C40" s="291"/>
      <c r="D40" s="290"/>
      <c r="E40" s="291"/>
      <c r="F40" s="89"/>
    </row>
    <row r="41" spans="1:6" ht="15.6" x14ac:dyDescent="0.35">
      <c r="A41" s="89"/>
      <c r="B41" s="290"/>
      <c r="C41" s="291"/>
      <c r="D41" s="290"/>
      <c r="E41" s="291"/>
      <c r="F41" s="89"/>
    </row>
    <row r="42" spans="1:6" s="6" customFormat="1" ht="15.6" x14ac:dyDescent="0.35">
      <c r="A42" s="236"/>
      <c r="B42" s="296"/>
      <c r="C42" s="363" t="str">
        <f>'00 DATA'!N8&amp;", "&amp;'00 DATA'!N10&amp;""</f>
        <v>Kotabumi , 09 Januari 2023</v>
      </c>
      <c r="D42" s="363"/>
      <c r="E42" s="363" t="str">
        <f>'00 DATA'!N8&amp;", "&amp;'00 DATA'!N9&amp;""</f>
        <v>Kotabumi , 31 Desember 2022</v>
      </c>
      <c r="F42" s="236"/>
    </row>
    <row r="43" spans="1:6" s="6" customFormat="1" ht="15.6" x14ac:dyDescent="0.35">
      <c r="A43" s="236"/>
      <c r="B43" s="296"/>
      <c r="C43" s="363" t="s">
        <v>87</v>
      </c>
      <c r="D43" s="363"/>
      <c r="E43" s="363" t="s">
        <v>88</v>
      </c>
      <c r="F43" s="236"/>
    </row>
    <row r="44" spans="1:6" s="6" customFormat="1" ht="15.6" x14ac:dyDescent="0.35">
      <c r="A44" s="236"/>
      <c r="B44" s="102"/>
      <c r="C44" s="102"/>
      <c r="D44" s="102"/>
      <c r="E44" s="102"/>
      <c r="F44" s="236"/>
    </row>
    <row r="45" spans="1:6" s="6" customFormat="1" ht="15.6" x14ac:dyDescent="0.35">
      <c r="A45" s="236"/>
      <c r="B45" s="102"/>
      <c r="C45" s="102"/>
      <c r="D45" s="102"/>
      <c r="E45" s="102"/>
      <c r="F45" s="236"/>
    </row>
    <row r="46" spans="1:6" s="6" customFormat="1" ht="15.6" x14ac:dyDescent="0.35">
      <c r="A46" s="236"/>
      <c r="B46" s="102"/>
      <c r="C46" s="102"/>
      <c r="D46" s="102"/>
      <c r="E46" s="102"/>
      <c r="F46" s="236"/>
    </row>
    <row r="47" spans="1:6" s="6" customFormat="1" x14ac:dyDescent="0.35">
      <c r="A47" s="236"/>
      <c r="B47" s="685" t="str">
        <f>"("&amp;E17&amp;")"&amp;""</f>
        <v>(RUSLAN, S.Pd)</v>
      </c>
      <c r="C47" s="685"/>
      <c r="D47" s="685"/>
      <c r="E47" s="130" t="str">
        <f>"("&amp;E23&amp;")"&amp;""</f>
        <v>(TUTI ROSPASARI, S.Pd. M.Pd.)</v>
      </c>
      <c r="F47" s="236"/>
    </row>
    <row r="48" spans="1:6" s="6" customFormat="1" ht="15.6" x14ac:dyDescent="0.35">
      <c r="A48" s="236"/>
      <c r="B48" s="679" t="str">
        <f>"NIP. "&amp;E18&amp;""</f>
        <v>NIP. 19660625 199112 1 001</v>
      </c>
      <c r="C48" s="679"/>
      <c r="D48" s="679"/>
      <c r="E48" s="102" t="str">
        <f>"NIP. "&amp;E24&amp;""</f>
        <v>NIP. 19721025 199802 2 003</v>
      </c>
      <c r="F48" s="236"/>
    </row>
    <row r="49" spans="1:6" ht="14.45" x14ac:dyDescent="0.35">
      <c r="A49" s="89"/>
      <c r="F49" s="89"/>
    </row>
    <row r="50" spans="1:6" ht="14.45" x14ac:dyDescent="0.35">
      <c r="A50" s="89"/>
      <c r="F50" s="89"/>
    </row>
    <row r="51" spans="1:6" ht="30.75" customHeight="1" x14ac:dyDescent="0.25">
      <c r="A51" s="89"/>
      <c r="B51" s="89"/>
      <c r="C51" s="89"/>
      <c r="D51" s="89"/>
      <c r="E51" s="89"/>
      <c r="F51" s="89"/>
    </row>
  </sheetData>
  <sheetProtection algorithmName="SHA-512" hashValue="nNLIPcRLzhGnj7GrPpcuZb/Z0PcKQVdb7nID3Vg2wOacQ5Q9xp8DJErZZjglqKJFZs9LX0jZN1AvnusJhe/RPw==" saltValue="STr45bcQ6l2mZufB4DxSzw==" spinCount="100000" sheet="1" objects="1" scenarios="1"/>
  <mergeCells count="13">
    <mergeCell ref="B48:D48"/>
    <mergeCell ref="C22:E22"/>
    <mergeCell ref="C28:E28"/>
    <mergeCell ref="C34:E34"/>
    <mergeCell ref="C37:E37"/>
    <mergeCell ref="C38:E38"/>
    <mergeCell ref="B47:D47"/>
    <mergeCell ref="C16:E16"/>
    <mergeCell ref="B10:E10"/>
    <mergeCell ref="B12:E12"/>
    <mergeCell ref="B14:C15"/>
    <mergeCell ref="D14:E14"/>
    <mergeCell ref="D15:E15"/>
  </mergeCells>
  <hyperlinks>
    <hyperlink ref="F1" location="HOME!A1" display="HOME"/>
    <hyperlink ref="F2" location="'DOK. EVALUASI KINERJA PEGAW (2'!A1" display="NEXT"/>
  </hyperlinks>
  <printOptions horizontalCentered="1"/>
  <pageMargins left="0.78740157480314965" right="0.59055118110236227" top="0.59055118110236227" bottom="0.59055118110236227" header="0.31496062992125984" footer="0.39370078740157483"/>
  <pageSetup paperSize="9" scale="8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F62"/>
  <sheetViews>
    <sheetView showGridLines="0" showRowColHeaders="0" zoomScale="85" zoomScaleNormal="85" workbookViewId="0">
      <pane xSplit="1" ySplit="9" topLeftCell="B24" activePane="bottomRight" state="frozen"/>
      <selection pane="topRight" activeCell="B1" sqref="B1"/>
      <selection pane="bottomLeft" activeCell="A10" sqref="A10"/>
      <selection pane="bottomRight" activeCell="F1" sqref="F1"/>
    </sheetView>
  </sheetViews>
  <sheetFormatPr defaultRowHeight="15" x14ac:dyDescent="0.25"/>
  <cols>
    <col min="1" max="1" width="5.85546875" customWidth="1"/>
    <col min="2" max="2" width="4.7109375" style="10" customWidth="1"/>
    <col min="3" max="3" width="37.7109375" customWidth="1"/>
    <col min="4" max="4" width="4.7109375" style="10" customWidth="1"/>
    <col min="5" max="5" width="50.7109375" customWidth="1"/>
    <col min="6" max="6" width="7" customWidth="1"/>
  </cols>
  <sheetData>
    <row r="1" spans="1:6" ht="23.25" customHeight="1" x14ac:dyDescent="0.35">
      <c r="A1" s="89"/>
      <c r="B1" s="235"/>
      <c r="C1" s="89"/>
      <c r="D1" s="235"/>
      <c r="E1" s="89"/>
      <c r="F1" s="72" t="s">
        <v>255</v>
      </c>
    </row>
    <row r="2" spans="1:6" ht="14.45" x14ac:dyDescent="0.35">
      <c r="A2" s="89"/>
      <c r="F2" s="364" t="s">
        <v>304</v>
      </c>
    </row>
    <row r="3" spans="1:6" ht="14.45" x14ac:dyDescent="0.35">
      <c r="A3" s="89"/>
      <c r="F3" s="89"/>
    </row>
    <row r="4" spans="1:6" ht="14.45" x14ac:dyDescent="0.35">
      <c r="A4" s="89"/>
      <c r="F4" s="89"/>
    </row>
    <row r="5" spans="1:6" ht="14.45" x14ac:dyDescent="0.35">
      <c r="A5" s="89"/>
      <c r="F5" s="89"/>
    </row>
    <row r="6" spans="1:6" ht="14.45" x14ac:dyDescent="0.35">
      <c r="A6" s="89"/>
      <c r="F6" s="89"/>
    </row>
    <row r="7" spans="1:6" ht="14.45" x14ac:dyDescent="0.35">
      <c r="A7" s="89"/>
      <c r="F7" s="89"/>
    </row>
    <row r="8" spans="1:6" ht="14.45" x14ac:dyDescent="0.35">
      <c r="A8" s="89"/>
      <c r="F8" s="89"/>
    </row>
    <row r="9" spans="1:6" ht="14.45" x14ac:dyDescent="0.35">
      <c r="A9" s="89"/>
      <c r="F9" s="89"/>
    </row>
    <row r="10" spans="1:6" ht="15.6" x14ac:dyDescent="0.35">
      <c r="A10" s="89"/>
      <c r="B10" s="585" t="s">
        <v>75</v>
      </c>
      <c r="C10" s="585"/>
      <c r="D10" s="585"/>
      <c r="E10" s="585"/>
      <c r="F10" s="89"/>
    </row>
    <row r="11" spans="1:6" ht="15.6" x14ac:dyDescent="0.35">
      <c r="A11" s="89"/>
      <c r="B11" s="69"/>
      <c r="C11" s="63"/>
      <c r="D11" s="69"/>
      <c r="E11" s="63"/>
      <c r="F11" s="89"/>
    </row>
    <row r="12" spans="1:6" ht="15.6" x14ac:dyDescent="0.35">
      <c r="A12" s="89"/>
      <c r="B12" s="673" t="s">
        <v>284</v>
      </c>
      <c r="C12" s="674"/>
      <c r="D12" s="674"/>
      <c r="E12" s="674"/>
      <c r="F12" s="89"/>
    </row>
    <row r="13" spans="1:6" ht="15.6" x14ac:dyDescent="0.35">
      <c r="A13" s="89"/>
      <c r="B13" s="290"/>
      <c r="C13" s="290"/>
      <c r="D13" s="290"/>
      <c r="E13" s="290"/>
      <c r="F13" s="89"/>
    </row>
    <row r="14" spans="1:6" ht="15.75" x14ac:dyDescent="0.25">
      <c r="A14" s="89"/>
      <c r="B14" s="675" t="str">
        <f>'SKP JF (KUANTITATIF)'!B6&amp;""</f>
        <v>DINAS PENDIDIKAN  KAB. LAMPUNG UTARA</v>
      </c>
      <c r="C14" s="675"/>
      <c r="D14" s="677" t="str">
        <f>"PERIODE PENILAIAN: "</f>
        <v xml:space="preserve">PERIODE PENILAIAN: </v>
      </c>
      <c r="E14" s="677"/>
      <c r="F14" s="89"/>
    </row>
    <row r="15" spans="1:6" ht="15.75" x14ac:dyDescent="0.25">
      <c r="A15" s="89"/>
      <c r="B15" s="676"/>
      <c r="C15" s="676"/>
      <c r="D15" s="678" t="str">
        <f>'DOK. EVALUASI KINERJA PEGAWAI'!D15:E15&amp;""</f>
        <v>01 JANUARI 2022 S.D 31 DESEMBER 2022</v>
      </c>
      <c r="E15" s="678"/>
      <c r="F15" s="89"/>
    </row>
    <row r="16" spans="1:6" ht="15.6" x14ac:dyDescent="0.35">
      <c r="A16" s="89"/>
      <c r="B16" s="292" t="s">
        <v>76</v>
      </c>
      <c r="C16" s="672" t="s">
        <v>3</v>
      </c>
      <c r="D16" s="672"/>
      <c r="E16" s="672"/>
      <c r="F16" s="89"/>
    </row>
    <row r="17" spans="1:6" ht="15.6" x14ac:dyDescent="0.35">
      <c r="A17" s="89"/>
      <c r="B17" s="293"/>
      <c r="C17" s="238" t="s">
        <v>5</v>
      </c>
      <c r="D17" s="238" t="s">
        <v>77</v>
      </c>
      <c r="E17" s="294" t="str">
        <f>'SKP JF (KUANTITATIF)'!D8&amp;""</f>
        <v>RUSLAN, S.Pd</v>
      </c>
      <c r="F17" s="89"/>
    </row>
    <row r="18" spans="1:6" ht="15.6" x14ac:dyDescent="0.35">
      <c r="A18" s="89"/>
      <c r="B18" s="293"/>
      <c r="C18" s="238" t="s">
        <v>6</v>
      </c>
      <c r="D18" s="238" t="s">
        <v>77</v>
      </c>
      <c r="E18" s="238" t="str">
        <f>'SKP JF (KUANTITATIF)'!D9&amp;""</f>
        <v>19660625 199112 1 001</v>
      </c>
      <c r="F18" s="89"/>
    </row>
    <row r="19" spans="1:6" ht="15.6" x14ac:dyDescent="0.35">
      <c r="A19" s="89"/>
      <c r="B19" s="293"/>
      <c r="C19" s="238" t="s">
        <v>7</v>
      </c>
      <c r="D19" s="238" t="s">
        <v>77</v>
      </c>
      <c r="E19" s="238" t="str">
        <f>'SKP JF (KUANTITATIF)'!D10&amp;""</f>
        <v xml:space="preserve">PEMBINA TK.I/ IV.b </v>
      </c>
      <c r="F19" s="89"/>
    </row>
    <row r="20" spans="1:6" ht="15.6" x14ac:dyDescent="0.35">
      <c r="A20" s="89"/>
      <c r="B20" s="293"/>
      <c r="C20" s="238" t="s">
        <v>8</v>
      </c>
      <c r="D20" s="238" t="s">
        <v>77</v>
      </c>
      <c r="E20" s="238" t="str">
        <f>'SKP JF (KUANTITATIF)'!D11&amp;""</f>
        <v>KEPALA SEKOLAH</v>
      </c>
      <c r="F20" s="89"/>
    </row>
    <row r="21" spans="1:6" ht="15.6" x14ac:dyDescent="0.35">
      <c r="A21" s="89"/>
      <c r="B21" s="293"/>
      <c r="C21" s="238" t="s">
        <v>9</v>
      </c>
      <c r="D21" s="238" t="s">
        <v>77</v>
      </c>
      <c r="E21" s="238" t="str">
        <f>'SKP JF (KUANTITATIF)'!D12&amp;""</f>
        <v>UPTD SDN 1 KOTABUMI TENGAH KAB. LAMPUNG UTARA</v>
      </c>
      <c r="F21" s="89"/>
    </row>
    <row r="22" spans="1:6" ht="15.6" x14ac:dyDescent="0.35">
      <c r="A22" s="89"/>
      <c r="B22" s="292" t="s">
        <v>78</v>
      </c>
      <c r="C22" s="680" t="s">
        <v>4</v>
      </c>
      <c r="D22" s="680"/>
      <c r="E22" s="680"/>
      <c r="F22" s="89"/>
    </row>
    <row r="23" spans="1:6" ht="15.6" x14ac:dyDescent="0.35">
      <c r="A23" s="89"/>
      <c r="B23" s="293"/>
      <c r="C23" s="238" t="s">
        <v>5</v>
      </c>
      <c r="D23" s="238" t="s">
        <v>77</v>
      </c>
      <c r="E23" s="294" t="str">
        <f>'EVALUASI KINERJA KUANTI JF'!L9&amp;""</f>
        <v>TUTI ROSPASARI, S.Pd. M.Pd.</v>
      </c>
      <c r="F23" s="89"/>
    </row>
    <row r="24" spans="1:6" ht="15.6" x14ac:dyDescent="0.35">
      <c r="A24" s="89"/>
      <c r="B24" s="293"/>
      <c r="C24" s="238" t="s">
        <v>6</v>
      </c>
      <c r="D24" s="238" t="s">
        <v>77</v>
      </c>
      <c r="E24" s="238" t="str">
        <f>'EVALUASI KINERJA KUANTI JF'!L10&amp;""</f>
        <v>19721025 199802 2 003</v>
      </c>
      <c r="F24" s="89"/>
    </row>
    <row r="25" spans="1:6" ht="15.6" x14ac:dyDescent="0.35">
      <c r="A25" s="89"/>
      <c r="B25" s="293"/>
      <c r="C25" s="238" t="s">
        <v>7</v>
      </c>
      <c r="D25" s="238" t="s">
        <v>77</v>
      </c>
      <c r="E25" s="238" t="str">
        <f>'EVALUASI KINERJA KUANTI JF'!L11&amp;""</f>
        <v xml:space="preserve">PEMBINA TK.I (IV/b) </v>
      </c>
      <c r="F25" s="89"/>
    </row>
    <row r="26" spans="1:6" ht="15.6" x14ac:dyDescent="0.35">
      <c r="A26" s="89"/>
      <c r="B26" s="293"/>
      <c r="C26" s="238" t="s">
        <v>8</v>
      </c>
      <c r="D26" s="238" t="s">
        <v>77</v>
      </c>
      <c r="E26" s="238" t="str">
        <f>'EVALUASI KINERJA KUANTI JF'!L12&amp;""</f>
        <v>SEKRETARIS DINAS</v>
      </c>
      <c r="F26" s="89"/>
    </row>
    <row r="27" spans="1:6" ht="33" customHeight="1" x14ac:dyDescent="0.35">
      <c r="A27" s="89"/>
      <c r="B27" s="293"/>
      <c r="C27" s="238" t="s">
        <v>9</v>
      </c>
      <c r="D27" s="238" t="s">
        <v>77</v>
      </c>
      <c r="E27" s="238" t="str">
        <f>'EVALUASI KINERJA KUANTI JF'!L13&amp;""</f>
        <v>DINAS PENDIDIKAN  KAB. LAMPUNG UTARA</v>
      </c>
      <c r="F27" s="89"/>
    </row>
    <row r="28" spans="1:6" ht="15.6" x14ac:dyDescent="0.35">
      <c r="A28" s="89"/>
      <c r="B28" s="292" t="s">
        <v>79</v>
      </c>
      <c r="C28" s="680" t="s">
        <v>80</v>
      </c>
      <c r="D28" s="680"/>
      <c r="E28" s="680"/>
      <c r="F28" s="89"/>
    </row>
    <row r="29" spans="1:6" ht="15.6" x14ac:dyDescent="0.35">
      <c r="A29" s="89"/>
      <c r="B29" s="293"/>
      <c r="C29" s="238" t="s">
        <v>5</v>
      </c>
      <c r="D29" s="238" t="s">
        <v>77</v>
      </c>
      <c r="E29" s="294" t="str">
        <f>'00 DATA'!F20&amp;""</f>
        <v>SUKATNO, S.H.</v>
      </c>
      <c r="F29" s="89"/>
    </row>
    <row r="30" spans="1:6" ht="15.6" x14ac:dyDescent="0.35">
      <c r="A30" s="89"/>
      <c r="B30" s="293"/>
      <c r="C30" s="238" t="s">
        <v>6</v>
      </c>
      <c r="D30" s="238" t="s">
        <v>77</v>
      </c>
      <c r="E30" s="238" t="str">
        <f>'00 DATA'!F21&amp;""</f>
        <v>19721001 199201 1 002</v>
      </c>
      <c r="F30" s="89"/>
    </row>
    <row r="31" spans="1:6" ht="15.6" x14ac:dyDescent="0.35">
      <c r="A31" s="89"/>
      <c r="B31" s="293"/>
      <c r="C31" s="238" t="s">
        <v>7</v>
      </c>
      <c r="D31" s="238" t="s">
        <v>77</v>
      </c>
      <c r="E31" s="238" t="str">
        <f>'00 DATA'!F22&amp;""</f>
        <v xml:space="preserve">PEMBINA TK.I (IV/b) </v>
      </c>
      <c r="F31" s="89"/>
    </row>
    <row r="32" spans="1:6" ht="15.6" x14ac:dyDescent="0.35">
      <c r="A32" s="89"/>
      <c r="B32" s="293"/>
      <c r="C32" s="238" t="s">
        <v>8</v>
      </c>
      <c r="D32" s="238" t="s">
        <v>77</v>
      </c>
      <c r="E32" s="238" t="str">
        <f>'00 DATA'!F23&amp;""</f>
        <v>KEPALA DINAS</v>
      </c>
      <c r="F32" s="89"/>
    </row>
    <row r="33" spans="1:6" ht="33" customHeight="1" x14ac:dyDescent="0.35">
      <c r="A33" s="89"/>
      <c r="B33" s="293"/>
      <c r="C33" s="238" t="s">
        <v>9</v>
      </c>
      <c r="D33" s="238" t="s">
        <v>77</v>
      </c>
      <c r="E33" s="238" t="str">
        <f>'00 DATA'!F24&amp;" "&amp;'00 DATA'!D25&amp;" "&amp;'00 DATA'!F25&amp;""</f>
        <v>DINAS PENDIDIKAN  KAB. LAMPUNG UTARA</v>
      </c>
      <c r="F33" s="89"/>
    </row>
    <row r="34" spans="1:6" ht="15.6" x14ac:dyDescent="0.35">
      <c r="A34" s="89"/>
      <c r="B34" s="292" t="s">
        <v>81</v>
      </c>
      <c r="C34" s="680" t="s">
        <v>82</v>
      </c>
      <c r="D34" s="680"/>
      <c r="E34" s="680"/>
      <c r="F34" s="89"/>
    </row>
    <row r="35" spans="1:6" ht="21.75" customHeight="1" x14ac:dyDescent="0.35">
      <c r="A35" s="89"/>
      <c r="B35" s="293"/>
      <c r="C35" s="238" t="s">
        <v>83</v>
      </c>
      <c r="D35" s="238" t="s">
        <v>77</v>
      </c>
      <c r="E35" s="294" t="str">
        <f>'EVALUASI KINERJA KUANTI JF'!B15&amp;""</f>
        <v>BAIK</v>
      </c>
      <c r="F35" s="89"/>
    </row>
    <row r="36" spans="1:6" ht="21.75" customHeight="1" x14ac:dyDescent="0.35">
      <c r="A36" s="89"/>
      <c r="B36" s="293"/>
      <c r="C36" s="238" t="s">
        <v>84</v>
      </c>
      <c r="D36" s="238" t="s">
        <v>77</v>
      </c>
      <c r="E36" s="294" t="str">
        <f>'EVALUASI KINERJA KUANTI JF'!B78&amp;""</f>
        <v>BAIK</v>
      </c>
      <c r="F36" s="89"/>
    </row>
    <row r="37" spans="1:6" ht="15.6" x14ac:dyDescent="0.35">
      <c r="A37" s="89"/>
      <c r="B37" s="292" t="s">
        <v>85</v>
      </c>
      <c r="C37" s="681" t="s">
        <v>86</v>
      </c>
      <c r="D37" s="681"/>
      <c r="E37" s="681"/>
      <c r="F37" s="89"/>
    </row>
    <row r="38" spans="1:6" ht="15.6" x14ac:dyDescent="0.35">
      <c r="A38" s="89"/>
      <c r="B38" s="295"/>
      <c r="C38" s="682"/>
      <c r="D38" s="683"/>
      <c r="E38" s="684"/>
      <c r="F38" s="89"/>
    </row>
    <row r="39" spans="1:6" ht="15.6" x14ac:dyDescent="0.35">
      <c r="A39" s="89"/>
      <c r="B39" s="366" t="s">
        <v>154</v>
      </c>
      <c r="C39" s="686" t="s">
        <v>307</v>
      </c>
      <c r="D39" s="681"/>
      <c r="E39" s="681"/>
      <c r="F39" s="89"/>
    </row>
    <row r="40" spans="1:6" ht="15.6" x14ac:dyDescent="0.35">
      <c r="A40" s="89"/>
      <c r="B40" s="295"/>
      <c r="C40" s="682"/>
      <c r="D40" s="683"/>
      <c r="E40" s="684"/>
      <c r="F40" s="89"/>
    </row>
    <row r="41" spans="1:6" ht="15.6" x14ac:dyDescent="0.35">
      <c r="A41" s="89"/>
      <c r="B41" s="366" t="s">
        <v>155</v>
      </c>
      <c r="C41" s="686" t="s">
        <v>312</v>
      </c>
      <c r="D41" s="681"/>
      <c r="E41" s="681"/>
      <c r="F41" s="89"/>
    </row>
    <row r="42" spans="1:6" ht="15.6" x14ac:dyDescent="0.35">
      <c r="A42" s="89"/>
      <c r="B42" s="295"/>
      <c r="C42" s="682"/>
      <c r="D42" s="683"/>
      <c r="E42" s="684"/>
      <c r="F42" s="89"/>
    </row>
    <row r="43" spans="1:6" ht="15.6" x14ac:dyDescent="0.35">
      <c r="A43" s="89"/>
      <c r="B43" s="366" t="s">
        <v>306</v>
      </c>
      <c r="C43" s="686" t="s">
        <v>308</v>
      </c>
      <c r="D43" s="681"/>
      <c r="E43" s="681"/>
      <c r="F43" s="89"/>
    </row>
    <row r="44" spans="1:6" ht="15.6" x14ac:dyDescent="0.35">
      <c r="A44" s="89"/>
      <c r="B44" s="295"/>
      <c r="C44" s="682"/>
      <c r="D44" s="683"/>
      <c r="E44" s="684"/>
      <c r="F44" s="89"/>
    </row>
    <row r="45" spans="1:6" ht="15.6" x14ac:dyDescent="0.35">
      <c r="A45" s="89"/>
      <c r="B45" s="290"/>
      <c r="C45" s="291"/>
      <c r="D45" s="290"/>
      <c r="E45" s="291"/>
      <c r="F45" s="89"/>
    </row>
    <row r="46" spans="1:6" s="6" customFormat="1" ht="15.6" x14ac:dyDescent="0.35">
      <c r="A46" s="236"/>
      <c r="B46" s="296"/>
      <c r="C46" s="363" t="str">
        <f>'00 DATA'!N8&amp;", "&amp;'00 DATA'!N10&amp;""</f>
        <v>Kotabumi , 09 Januari 2023</v>
      </c>
      <c r="D46" s="363"/>
      <c r="E46" s="363" t="str">
        <f>'00 DATA'!N8&amp;", "&amp;'00 DATA'!N9&amp;""</f>
        <v>Kotabumi , 31 Desember 2022</v>
      </c>
      <c r="F46" s="236"/>
    </row>
    <row r="47" spans="1:6" s="6" customFormat="1" ht="15.6" x14ac:dyDescent="0.35">
      <c r="A47" s="236"/>
      <c r="B47" s="296"/>
      <c r="C47" s="363" t="s">
        <v>310</v>
      </c>
      <c r="D47" s="363"/>
      <c r="E47" s="363" t="s">
        <v>309</v>
      </c>
      <c r="F47" s="236"/>
    </row>
    <row r="48" spans="1:6" s="6" customFormat="1" ht="15.6" x14ac:dyDescent="0.35">
      <c r="A48" s="236"/>
      <c r="B48" s="102"/>
      <c r="C48" s="102"/>
      <c r="D48" s="102"/>
      <c r="E48" s="102"/>
      <c r="F48" s="236"/>
    </row>
    <row r="49" spans="1:6" s="6" customFormat="1" ht="15.6" x14ac:dyDescent="0.35">
      <c r="A49" s="236"/>
      <c r="B49" s="102"/>
      <c r="C49" s="102"/>
      <c r="D49" s="102"/>
      <c r="E49" s="102"/>
      <c r="F49" s="236"/>
    </row>
    <row r="50" spans="1:6" s="6" customFormat="1" ht="15.6" x14ac:dyDescent="0.35">
      <c r="A50" s="236"/>
      <c r="B50" s="102"/>
      <c r="C50" s="102"/>
      <c r="D50" s="102"/>
      <c r="E50" s="102"/>
      <c r="F50" s="236"/>
    </row>
    <row r="51" spans="1:6" s="6" customFormat="1" x14ac:dyDescent="0.35">
      <c r="A51" s="236"/>
      <c r="B51" s="685" t="str">
        <f>"("&amp;E17&amp;")"&amp;""</f>
        <v>(RUSLAN, S.Pd)</v>
      </c>
      <c r="C51" s="685"/>
      <c r="D51" s="685"/>
      <c r="E51" s="130" t="str">
        <f>"("&amp;E23&amp;")"&amp;""</f>
        <v>(TUTI ROSPASARI, S.Pd. M.Pd.)</v>
      </c>
      <c r="F51" s="236"/>
    </row>
    <row r="52" spans="1:6" s="6" customFormat="1" ht="15.6" x14ac:dyDescent="0.35">
      <c r="A52" s="236"/>
      <c r="B52" s="679" t="str">
        <f>"NIP. "&amp;E18&amp;""</f>
        <v>NIP. 19660625 199112 1 001</v>
      </c>
      <c r="C52" s="679"/>
      <c r="D52" s="679"/>
      <c r="E52" s="102" t="str">
        <f>"NIP. "&amp;E24&amp;""</f>
        <v>NIP. 19721025 199802 2 003</v>
      </c>
      <c r="F52" s="236"/>
    </row>
    <row r="53" spans="1:6" ht="14.45" x14ac:dyDescent="0.35">
      <c r="A53" s="89"/>
      <c r="F53" s="89"/>
    </row>
    <row r="54" spans="1:6" ht="15.6" x14ac:dyDescent="0.35">
      <c r="A54" s="89"/>
      <c r="C54" s="10"/>
      <c r="D54" s="368" t="str">
        <f>'00 DATA'!N8&amp;", "&amp;'00 DATA'!N11&amp;""</f>
        <v>Kotabumi , 09 Januari 2023</v>
      </c>
      <c r="E54" s="10"/>
      <c r="F54" s="89"/>
    </row>
    <row r="55" spans="1:6" ht="15.6" x14ac:dyDescent="0.35">
      <c r="A55" s="89"/>
      <c r="C55" s="10"/>
      <c r="D55" s="363" t="s">
        <v>311</v>
      </c>
      <c r="E55" s="10"/>
      <c r="F55" s="89"/>
    </row>
    <row r="56" spans="1:6" ht="14.45" x14ac:dyDescent="0.35">
      <c r="A56" s="89"/>
      <c r="C56" s="10"/>
      <c r="E56" s="10"/>
      <c r="F56" s="89"/>
    </row>
    <row r="57" spans="1:6" ht="14.45" x14ac:dyDescent="0.35">
      <c r="A57" s="89"/>
      <c r="F57" s="89"/>
    </row>
    <row r="58" spans="1:6" ht="14.45" x14ac:dyDescent="0.35">
      <c r="A58" s="89"/>
      <c r="F58" s="89"/>
    </row>
    <row r="59" spans="1:6" ht="15.75" x14ac:dyDescent="0.25">
      <c r="A59" s="89"/>
      <c r="D59" s="367" t="str">
        <f>E29&amp;""</f>
        <v>SUKATNO, S.H.</v>
      </c>
      <c r="F59" s="89"/>
    </row>
    <row r="60" spans="1:6" ht="15.75" x14ac:dyDescent="0.25">
      <c r="A60" s="89"/>
      <c r="D60" s="69" t="str">
        <f>"NIP."&amp;E30&amp;""</f>
        <v>NIP.19721001 199201 1 002</v>
      </c>
      <c r="F60" s="89"/>
    </row>
    <row r="61" spans="1:6" x14ac:dyDescent="0.25">
      <c r="A61" s="89"/>
      <c r="F61" s="89"/>
    </row>
    <row r="62" spans="1:6" ht="31.5" customHeight="1" x14ac:dyDescent="0.25">
      <c r="A62" s="89"/>
      <c r="B62" s="89"/>
      <c r="C62" s="89"/>
      <c r="D62" s="89"/>
      <c r="E62" s="89"/>
      <c r="F62" s="89"/>
    </row>
  </sheetData>
  <sheetProtection algorithmName="SHA-512" hashValue="uUPWsk4lwJ6LIlWx3CAVix7Lgimt+WdCRFJjyXSwYI7ErCAZgcUuWxF3Z19WPPKPWbb5Ovo+5rId7mD6x83MkA==" saltValue="oYEyxGQX4bvMWAnzWkBtkw==" spinCount="100000" sheet="1" objects="1" scenarios="1"/>
  <mergeCells count="19">
    <mergeCell ref="C16:E16"/>
    <mergeCell ref="B10:E10"/>
    <mergeCell ref="B12:E12"/>
    <mergeCell ref="B14:C15"/>
    <mergeCell ref="D14:E14"/>
    <mergeCell ref="D15:E15"/>
    <mergeCell ref="C22:E22"/>
    <mergeCell ref="C28:E28"/>
    <mergeCell ref="C34:E34"/>
    <mergeCell ref="C37:E37"/>
    <mergeCell ref="C38:E38"/>
    <mergeCell ref="B52:D52"/>
    <mergeCell ref="C39:E39"/>
    <mergeCell ref="C40:E40"/>
    <mergeCell ref="C41:E41"/>
    <mergeCell ref="C42:E42"/>
    <mergeCell ref="C43:E43"/>
    <mergeCell ref="C44:E44"/>
    <mergeCell ref="B51:D51"/>
  </mergeCells>
  <hyperlinks>
    <hyperlink ref="F1" location="HOME!A1" display="HOME"/>
    <hyperlink ref="F2" location="'DOK. EVALUASI KINERJA PEGAWAI'!A1" display="D.1.3"/>
  </hyperlinks>
  <printOptions horizontalCentered="1"/>
  <pageMargins left="0.78740157480314965" right="0.59055118110236227" top="0.39370078740157483" bottom="0.59055118110236227" header="0.31496062992125984" footer="0.39370078740157483"/>
  <pageSetup paperSize="9" scale="7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Y103"/>
  <sheetViews>
    <sheetView showGridLines="0" zoomScale="75" zoomScaleNormal="75" zoomScaleSheetLayoutView="50" workbookViewId="0">
      <pane xSplit="3" ySplit="4" topLeftCell="D34" activePane="bottomRight" state="frozen"/>
      <selection pane="topRight" activeCell="D1" sqref="D1"/>
      <selection pane="bottomLeft" activeCell="A5" sqref="A5"/>
      <selection pane="bottomRight" activeCell="O1" sqref="O1"/>
    </sheetView>
  </sheetViews>
  <sheetFormatPr defaultColWidth="9.140625" defaultRowHeight="15.75" x14ac:dyDescent="0.25"/>
  <cols>
    <col min="1" max="1" width="5.28515625" style="63" customWidth="1"/>
    <col min="2" max="2" width="4.7109375" style="63" bestFit="1" customWidth="1"/>
    <col min="3" max="3" width="35.7109375" style="63" customWidth="1"/>
    <col min="4" max="4" width="11.42578125" style="63" customWidth="1"/>
    <col min="5" max="5" width="26.42578125" style="63" customWidth="1"/>
    <col min="6" max="6" width="12.7109375" style="63" customWidth="1"/>
    <col min="7" max="7" width="22.28515625" style="63" customWidth="1"/>
    <col min="8" max="8" width="4.7109375" style="63" bestFit="1" customWidth="1"/>
    <col min="9" max="9" width="8" style="63" customWidth="1"/>
    <col min="10" max="10" width="14.42578125" style="63" customWidth="1"/>
    <col min="11" max="11" width="7" style="64" customWidth="1"/>
    <col min="12" max="12" width="18.140625" style="64" customWidth="1"/>
    <col min="13" max="13" width="13" style="64" customWidth="1"/>
    <col min="14" max="14" width="32.85546875" style="64" customWidth="1"/>
    <col min="15" max="15" width="7.5703125" style="63" customWidth="1"/>
    <col min="16" max="16" width="9.140625" style="63" hidden="1" customWidth="1"/>
    <col min="17" max="17" width="10.5703125" style="63" hidden="1" customWidth="1"/>
    <col min="18" max="19" width="9.140625" style="69" customWidth="1"/>
    <col min="20" max="21" width="9.140625" style="69"/>
    <col min="22" max="22" width="10.42578125" style="63" customWidth="1"/>
    <col min="23" max="16384" width="9.140625" style="63"/>
  </cols>
  <sheetData>
    <row r="1" spans="1:21" ht="24" customHeight="1" x14ac:dyDescent="0.35">
      <c r="A1" s="284" t="s">
        <v>265</v>
      </c>
      <c r="B1" s="110"/>
      <c r="C1" s="110"/>
      <c r="D1" s="110"/>
      <c r="E1" s="110"/>
      <c r="F1" s="110"/>
      <c r="G1" s="110"/>
      <c r="H1" s="110"/>
      <c r="I1" s="110"/>
      <c r="J1" s="110"/>
      <c r="K1" s="111"/>
      <c r="L1" s="111"/>
      <c r="M1" s="111"/>
      <c r="N1" s="111"/>
      <c r="O1" s="72" t="s">
        <v>255</v>
      </c>
    </row>
    <row r="2" spans="1:21" ht="17.45" x14ac:dyDescent="0.35">
      <c r="A2" s="110"/>
      <c r="B2" s="541" t="s">
        <v>101</v>
      </c>
      <c r="C2" s="541"/>
      <c r="D2" s="541"/>
      <c r="E2" s="541"/>
      <c r="F2" s="541"/>
      <c r="G2" s="541"/>
      <c r="H2" s="541"/>
      <c r="I2" s="541"/>
      <c r="J2" s="541"/>
      <c r="K2" s="541"/>
      <c r="L2" s="541"/>
      <c r="M2" s="541"/>
      <c r="N2" s="541"/>
      <c r="O2" s="110"/>
      <c r="P2" s="103"/>
    </row>
    <row r="3" spans="1:21" ht="15.6" x14ac:dyDescent="0.35">
      <c r="A3" s="110"/>
      <c r="B3" s="542" t="str">
        <f>'SKP JF (KUANTITATIF)'!B3&amp;""</f>
        <v>JABATAN FUNGSIONAL KEPALA SEKOLAH</v>
      </c>
      <c r="C3" s="542"/>
      <c r="D3" s="542"/>
      <c r="E3" s="542"/>
      <c r="F3" s="542"/>
      <c r="G3" s="542"/>
      <c r="H3" s="542"/>
      <c r="I3" s="542"/>
      <c r="J3" s="542"/>
      <c r="K3" s="542"/>
      <c r="L3" s="542"/>
      <c r="M3" s="542"/>
      <c r="N3" s="542"/>
      <c r="O3" s="110"/>
    </row>
    <row r="4" spans="1:21" ht="15.6" x14ac:dyDescent="0.35">
      <c r="A4" s="110"/>
      <c r="B4" s="542" t="s">
        <v>1</v>
      </c>
      <c r="C4" s="542"/>
      <c r="D4" s="542"/>
      <c r="E4" s="542"/>
      <c r="F4" s="542"/>
      <c r="G4" s="542"/>
      <c r="H4" s="542"/>
      <c r="I4" s="542"/>
      <c r="J4" s="542"/>
      <c r="K4" s="542"/>
      <c r="L4" s="542"/>
      <c r="M4" s="542"/>
      <c r="N4" s="542"/>
      <c r="O4" s="110"/>
    </row>
    <row r="5" spans="1:21" ht="15.6" x14ac:dyDescent="0.35">
      <c r="A5" s="110"/>
      <c r="O5" s="110"/>
    </row>
    <row r="6" spans="1:21" ht="14.25" customHeight="1" x14ac:dyDescent="0.35">
      <c r="A6" s="110"/>
      <c r="B6" s="542" t="s">
        <v>66</v>
      </c>
      <c r="C6" s="542"/>
      <c r="D6" s="542"/>
      <c r="E6" s="542"/>
      <c r="F6" s="542"/>
      <c r="G6" s="542"/>
      <c r="H6" s="542"/>
      <c r="I6" s="542"/>
      <c r="J6" s="542"/>
      <c r="K6" s="542"/>
      <c r="L6" s="542"/>
      <c r="M6" s="542"/>
      <c r="N6" s="542"/>
      <c r="O6" s="110"/>
    </row>
    <row r="7" spans="1:21" s="372" customFormat="1" ht="15" x14ac:dyDescent="0.3">
      <c r="A7" s="432"/>
      <c r="B7" s="619" t="str">
        <f>'SKP JF (KUANTITATIF)'!B6&amp;""</f>
        <v>DINAS PENDIDIKAN  KAB. LAMPUNG UTARA</v>
      </c>
      <c r="C7" s="619"/>
      <c r="D7" s="619"/>
      <c r="E7" s="619"/>
      <c r="F7" s="619"/>
      <c r="G7" s="619"/>
      <c r="H7" s="620" t="s">
        <v>54</v>
      </c>
      <c r="I7" s="620"/>
      <c r="J7" s="620"/>
      <c r="K7" s="431" t="str">
        <f>'SKP JF (KUANTITATIF)'!H6&amp;""</f>
        <v>01 JANUARI 2022 S.D 31 DESEMBER 2022</v>
      </c>
      <c r="L7" s="431"/>
      <c r="M7" s="431"/>
      <c r="N7" s="431"/>
      <c r="O7" s="432"/>
      <c r="R7" s="367"/>
      <c r="S7" s="367"/>
      <c r="T7" s="367"/>
      <c r="U7" s="367"/>
    </row>
    <row r="8" spans="1:21" ht="15.6" x14ac:dyDescent="0.35">
      <c r="A8" s="110"/>
      <c r="B8" s="454" t="s">
        <v>11</v>
      </c>
      <c r="C8" s="612" t="s">
        <v>3</v>
      </c>
      <c r="D8" s="613"/>
      <c r="E8" s="613"/>
      <c r="F8" s="613"/>
      <c r="G8" s="614"/>
      <c r="H8" s="454" t="s">
        <v>11</v>
      </c>
      <c r="I8" s="615" t="s">
        <v>4</v>
      </c>
      <c r="J8" s="616"/>
      <c r="K8" s="616"/>
      <c r="L8" s="616"/>
      <c r="M8" s="616"/>
      <c r="N8" s="617"/>
      <c r="O8" s="110"/>
    </row>
    <row r="9" spans="1:21" ht="15.6" x14ac:dyDescent="0.35">
      <c r="A9" s="110"/>
      <c r="B9" s="75">
        <v>1</v>
      </c>
      <c r="C9" s="555" t="s">
        <v>5</v>
      </c>
      <c r="D9" s="556"/>
      <c r="E9" s="553" t="str">
        <f>'SKP JF (KUANTITATIF)'!D8&amp;""</f>
        <v>RUSLAN, S.Pd</v>
      </c>
      <c r="F9" s="618"/>
      <c r="G9" s="554"/>
      <c r="H9" s="104">
        <v>1</v>
      </c>
      <c r="I9" s="555" t="s">
        <v>5</v>
      </c>
      <c r="J9" s="577"/>
      <c r="K9" s="556"/>
      <c r="L9" s="553" t="str">
        <f>IF(A1="A",'00 DATA'!F12,IF(A1="B",'00 DATA'!N20,""))</f>
        <v>TUTI ROSPASARI, S.Pd. M.Pd.</v>
      </c>
      <c r="M9" s="618"/>
      <c r="N9" s="554"/>
      <c r="O9" s="110"/>
    </row>
    <row r="10" spans="1:21" ht="15.75" customHeight="1" x14ac:dyDescent="0.35">
      <c r="A10" s="110"/>
      <c r="B10" s="75">
        <v>2</v>
      </c>
      <c r="C10" s="555" t="s">
        <v>6</v>
      </c>
      <c r="D10" s="556"/>
      <c r="E10" s="555" t="str">
        <f>'SKP JF (KUANTITATIF)'!D9&amp;""</f>
        <v>19660625 199112 1 001</v>
      </c>
      <c r="F10" s="577"/>
      <c r="G10" s="556"/>
      <c r="H10" s="104">
        <v>2</v>
      </c>
      <c r="I10" s="555" t="s">
        <v>6</v>
      </c>
      <c r="J10" s="577"/>
      <c r="K10" s="556"/>
      <c r="L10" s="555" t="str">
        <f>IF(A1="A",'00 DATA'!F13,IF(A1="B",'00 DATA'!N21,""))</f>
        <v>19721025 199802 2 003</v>
      </c>
      <c r="M10" s="577"/>
      <c r="N10" s="556"/>
      <c r="O10" s="110"/>
    </row>
    <row r="11" spans="1:21" ht="15.75" customHeight="1" x14ac:dyDescent="0.35">
      <c r="A11" s="110"/>
      <c r="B11" s="75">
        <v>3</v>
      </c>
      <c r="C11" s="555" t="s">
        <v>7</v>
      </c>
      <c r="D11" s="556"/>
      <c r="E11" s="555" t="str">
        <f>'SKP JF (KUANTITATIF)'!D10&amp;""</f>
        <v xml:space="preserve">PEMBINA TK.I/ IV.b </v>
      </c>
      <c r="F11" s="577"/>
      <c r="G11" s="556"/>
      <c r="H11" s="104">
        <v>3</v>
      </c>
      <c r="I11" s="555" t="s">
        <v>236</v>
      </c>
      <c r="J11" s="577"/>
      <c r="K11" s="556"/>
      <c r="L11" s="555" t="str">
        <f>IF(A1="A",'00 DATA'!F14,IF(A1="B",'00 DATA'!N22,""))</f>
        <v xml:space="preserve">PEMBINA TK.I (IV/b) </v>
      </c>
      <c r="M11" s="577"/>
      <c r="N11" s="556"/>
      <c r="O11" s="110"/>
    </row>
    <row r="12" spans="1:21" ht="15.75" customHeight="1" x14ac:dyDescent="0.35">
      <c r="A12" s="110"/>
      <c r="B12" s="75">
        <v>4</v>
      </c>
      <c r="C12" s="555" t="s">
        <v>8</v>
      </c>
      <c r="D12" s="556"/>
      <c r="E12" s="555" t="str">
        <f>'SKP JF (KUANTITATIF)'!D11&amp;""</f>
        <v>KEPALA SEKOLAH</v>
      </c>
      <c r="F12" s="577"/>
      <c r="G12" s="556"/>
      <c r="H12" s="104">
        <v>4</v>
      </c>
      <c r="I12" s="555" t="s">
        <v>8</v>
      </c>
      <c r="J12" s="577"/>
      <c r="K12" s="556"/>
      <c r="L12" s="555" t="str">
        <f>IF(A1="A",'00 DATA'!F15,IF(A1="B",'00 DATA'!N23,""))</f>
        <v>SEKRETARIS DINAS</v>
      </c>
      <c r="M12" s="577"/>
      <c r="N12" s="556"/>
      <c r="O12" s="110"/>
    </row>
    <row r="13" spans="1:21" ht="30.75" customHeight="1" x14ac:dyDescent="0.35">
      <c r="A13" s="110"/>
      <c r="B13" s="75">
        <v>5</v>
      </c>
      <c r="C13" s="555" t="s">
        <v>9</v>
      </c>
      <c r="D13" s="556"/>
      <c r="E13" s="555" t="str">
        <f>'SKP JF (KUANTITATIF)'!D12&amp;""</f>
        <v>UPTD SDN 1 KOTABUMI TENGAH KAB. LAMPUNG UTARA</v>
      </c>
      <c r="F13" s="577"/>
      <c r="G13" s="556"/>
      <c r="H13" s="104">
        <v>5</v>
      </c>
      <c r="I13" s="555" t="s">
        <v>237</v>
      </c>
      <c r="J13" s="577"/>
      <c r="K13" s="556"/>
      <c r="L13" s="555" t="str">
        <f>IF(A1="A",'00 DATA'!F16&amp;" "&amp;'00 DATA'!D17&amp;" "&amp;'00 DATA'!F17&amp;"",IF(A1="B",'00 DATA'!N24&amp;" "&amp;'00 DATA'!L25&amp;" "&amp;'00 DATA'!N25,""))</f>
        <v>DINAS PENDIDIKAN  KAB. LAMPUNG UTARA</v>
      </c>
      <c r="M13" s="577"/>
      <c r="N13" s="556"/>
      <c r="O13" s="110"/>
    </row>
    <row r="14" spans="1:21" ht="15.6" x14ac:dyDescent="0.35">
      <c r="A14" s="110"/>
      <c r="B14" s="621" t="s">
        <v>67</v>
      </c>
      <c r="C14" s="621"/>
      <c r="D14" s="621"/>
      <c r="E14" s="621"/>
      <c r="F14" s="621"/>
      <c r="G14" s="621"/>
      <c r="H14" s="621"/>
      <c r="I14" s="621"/>
      <c r="J14" s="621"/>
      <c r="K14" s="621"/>
      <c r="L14" s="621"/>
      <c r="M14" s="621"/>
      <c r="N14" s="621"/>
      <c r="O14" s="110"/>
    </row>
    <row r="15" spans="1:21" ht="15.6" x14ac:dyDescent="0.35">
      <c r="A15" s="110"/>
      <c r="B15" s="621" t="str">
        <f>'00 DATA'!P6&amp;""</f>
        <v>BAIK</v>
      </c>
      <c r="C15" s="621"/>
      <c r="D15" s="621"/>
      <c r="E15" s="621"/>
      <c r="F15" s="621"/>
      <c r="G15" s="621"/>
      <c r="H15" s="621"/>
      <c r="I15" s="621"/>
      <c r="J15" s="621"/>
      <c r="K15" s="621"/>
      <c r="L15" s="621"/>
      <c r="M15" s="621"/>
      <c r="N15" s="621"/>
      <c r="O15" s="110"/>
      <c r="P15" s="116"/>
      <c r="Q15" s="117"/>
    </row>
    <row r="16" spans="1:21" ht="15.6" x14ac:dyDescent="0.35">
      <c r="A16" s="110"/>
      <c r="B16" s="621" t="s">
        <v>68</v>
      </c>
      <c r="C16" s="621"/>
      <c r="D16" s="621"/>
      <c r="E16" s="621"/>
      <c r="F16" s="621"/>
      <c r="G16" s="621"/>
      <c r="H16" s="621"/>
      <c r="I16" s="621"/>
      <c r="J16" s="621"/>
      <c r="K16" s="621"/>
      <c r="L16" s="621"/>
      <c r="M16" s="621"/>
      <c r="N16" s="621"/>
      <c r="O16" s="110"/>
    </row>
    <row r="17" spans="1:22" ht="175.5" customHeight="1" x14ac:dyDescent="0.35">
      <c r="A17" s="110"/>
      <c r="B17" s="622"/>
      <c r="C17" s="622"/>
      <c r="D17" s="622"/>
      <c r="E17" s="622"/>
      <c r="F17" s="622"/>
      <c r="G17" s="622"/>
      <c r="H17" s="622"/>
      <c r="I17" s="622"/>
      <c r="J17" s="622"/>
      <c r="K17" s="622"/>
      <c r="L17" s="622"/>
      <c r="M17" s="622"/>
      <c r="N17" s="622"/>
      <c r="O17" s="110"/>
    </row>
    <row r="18" spans="1:22" ht="15.6" x14ac:dyDescent="0.35">
      <c r="A18" s="110"/>
      <c r="B18" s="623" t="s">
        <v>10</v>
      </c>
      <c r="C18" s="624"/>
      <c r="D18" s="624"/>
      <c r="E18" s="624"/>
      <c r="F18" s="624"/>
      <c r="G18" s="624"/>
      <c r="H18" s="624"/>
      <c r="I18" s="624"/>
      <c r="J18" s="624"/>
      <c r="K18" s="624"/>
      <c r="L18" s="624"/>
      <c r="M18" s="624"/>
      <c r="N18" s="625"/>
      <c r="O18" s="110"/>
    </row>
    <row r="19" spans="1:22" s="105" customFormat="1" ht="45" customHeight="1" x14ac:dyDescent="0.35">
      <c r="A19" s="112"/>
      <c r="B19" s="310" t="s">
        <v>11</v>
      </c>
      <c r="C19" s="310" t="s">
        <v>69</v>
      </c>
      <c r="D19" s="569" t="s">
        <v>13</v>
      </c>
      <c r="E19" s="571"/>
      <c r="F19" s="380" t="s">
        <v>14</v>
      </c>
      <c r="G19" s="569" t="s">
        <v>15</v>
      </c>
      <c r="H19" s="571"/>
      <c r="I19" s="375"/>
      <c r="J19" s="377" t="s">
        <v>16</v>
      </c>
      <c r="K19" s="569" t="s">
        <v>70</v>
      </c>
      <c r="L19" s="570"/>
      <c r="M19" s="569" t="s">
        <v>71</v>
      </c>
      <c r="N19" s="626"/>
      <c r="O19" s="112"/>
    </row>
    <row r="20" spans="1:22" s="105" customFormat="1" ht="15.6" x14ac:dyDescent="0.35">
      <c r="A20" s="112"/>
      <c r="B20" s="124" t="s">
        <v>17</v>
      </c>
      <c r="C20" s="287" t="s">
        <v>18</v>
      </c>
      <c r="D20" s="627" t="s">
        <v>19</v>
      </c>
      <c r="E20" s="628"/>
      <c r="F20" s="237" t="s">
        <v>20</v>
      </c>
      <c r="G20" s="627" t="s">
        <v>21</v>
      </c>
      <c r="H20" s="629"/>
      <c r="I20" s="125"/>
      <c r="J20" s="288" t="s">
        <v>22</v>
      </c>
      <c r="K20" s="627" t="s">
        <v>72</v>
      </c>
      <c r="L20" s="629"/>
      <c r="M20" s="125"/>
      <c r="N20" s="289" t="s">
        <v>263</v>
      </c>
      <c r="O20" s="112"/>
    </row>
    <row r="21" spans="1:22" ht="15.6" x14ac:dyDescent="0.35">
      <c r="A21" s="110"/>
      <c r="B21" s="707" t="s">
        <v>23</v>
      </c>
      <c r="C21" s="708"/>
      <c r="D21" s="708"/>
      <c r="E21" s="708"/>
      <c r="F21" s="708"/>
      <c r="G21" s="708"/>
      <c r="H21" s="708"/>
      <c r="I21" s="708"/>
      <c r="J21" s="708"/>
      <c r="K21" s="708"/>
      <c r="L21" s="708"/>
      <c r="M21" s="708"/>
      <c r="N21" s="709"/>
      <c r="O21" s="110"/>
      <c r="S21" s="69" t="s">
        <v>273</v>
      </c>
      <c r="T21" s="69" t="s">
        <v>274</v>
      </c>
      <c r="U21" s="69" t="s">
        <v>276</v>
      </c>
      <c r="V21" s="69" t="s">
        <v>277</v>
      </c>
    </row>
    <row r="22" spans="1:22" s="106" customFormat="1" ht="48.75" customHeight="1" x14ac:dyDescent="0.25">
      <c r="A22" s="113"/>
      <c r="B22" s="633" t="str">
        <f>'SKP JF (KUANTITATIF)'!B17&amp;""</f>
        <v>1</v>
      </c>
      <c r="C22" s="636" t="str">
        <f>'SKP JF (KUANTITATIF)'!C17&amp;""</f>
        <v>Meningkatnya aksesibilitas dan kualitas Pendidikan Dasar Dinas Pendidikan Kab. Lampung Utara</v>
      </c>
      <c r="D22" s="637" t="str">
        <f>'SKP JF (KUANTITATIF)'!D17&amp;""</f>
        <v>Dokumen Program Kerja Sekolah dalam bidang Manajerial, Kewirausahaan, Supervisi Guru dan Tendik dalam penyelenggaraan dan atau pengelolaan Sekolah.</v>
      </c>
      <c r="E22" s="638"/>
      <c r="F22" s="267" t="str">
        <f>'SKP JF (KUANTITATIF)'!G17&amp;""</f>
        <v>Kuantitas</v>
      </c>
      <c r="G22" s="643" t="str">
        <f>'SKP JF (KUANTITATIF)'!H17&amp;""</f>
        <v>Jumlah Dokumen Program</v>
      </c>
      <c r="H22" s="644"/>
      <c r="I22" s="286" t="str">
        <f>'SKP JF (KUANTITATIF)'!J17&amp;""</f>
        <v>2</v>
      </c>
      <c r="J22" s="269" t="str">
        <f>'SKP JF (KUANTITATIF)'!K17&amp;""</f>
        <v>Dokumen</v>
      </c>
      <c r="K22" s="273">
        <v>2</v>
      </c>
      <c r="L22" s="271" t="str">
        <f>IF(K22&gt;=1,"berdasarkan penilaian pimpinan","")</f>
        <v>berdasarkan penilaian pimpinan</v>
      </c>
      <c r="M22" s="228" t="str">
        <f>IF(Q22="Sangat Baik","C",IF(Q22="Baik","J",IF(Q22="Cukup","K",IF(Q22="Kurang","L",""))))</f>
        <v>C</v>
      </c>
      <c r="N22" s="274" t="str">
        <f>IF(K22="","",IF(Q22="Sangat Baik","Bagus, sudah amat baik, pertahankan.",IF(Q22="Baik","Bagus, sudah baik, dapat lebih ditingkatkan.",IF(Q22="Cukup","Cukup baik, ada baiknya perlu sekali ditingkatkan.",IF(Q22="Kurang","Kurang, sangat perlu perbaikan secara menyeluruh.","")))))</f>
        <v>Bagus, sudah amat baik, pertahankan.</v>
      </c>
      <c r="O22" s="113"/>
      <c r="P22" s="109">
        <f t="shared" ref="P22:P36" si="0">(K22/I22)*100</f>
        <v>100</v>
      </c>
      <c r="Q22" s="105" t="str">
        <f>IF(P22&lt;=50,("Buruk"),IF(P22&lt;=60,("Kurang"),IF(P22&lt;=75,("Cukup"),IF(P22&lt;=90,("Baik"),("Sangat Baik")))))</f>
        <v>Sangat Baik</v>
      </c>
      <c r="S22" s="224" t="s">
        <v>235</v>
      </c>
      <c r="T22" s="223" t="s">
        <v>239</v>
      </c>
      <c r="U22" s="225" t="s">
        <v>240</v>
      </c>
      <c r="V22" s="226" t="s">
        <v>238</v>
      </c>
    </row>
    <row r="23" spans="1:22" s="106" customFormat="1" ht="48.75" customHeight="1" x14ac:dyDescent="0.25">
      <c r="A23" s="113"/>
      <c r="B23" s="634"/>
      <c r="C23" s="581"/>
      <c r="D23" s="639"/>
      <c r="E23" s="640"/>
      <c r="F23" s="267" t="str">
        <f>'SKP JF (KUANTITATIF)'!G18&amp;""</f>
        <v>Kualitas</v>
      </c>
      <c r="G23" s="643" t="str">
        <f>'SKP JF (KUANTITATIF)'!H18&amp;""</f>
        <v>Program Pengawasan dan Program Bimlat Guru / Kepala Sekolah.</v>
      </c>
      <c r="H23" s="644"/>
      <c r="I23" s="268">
        <f>'SKP JF (KUANTITATIF)'!J18</f>
        <v>0.95</v>
      </c>
      <c r="J23" s="269" t="str">
        <f>'SKP JF (KUANTITATIF)'!K18&amp;""</f>
        <v>(Persen)</v>
      </c>
      <c r="K23" s="270">
        <v>0.9</v>
      </c>
      <c r="L23" s="271" t="str">
        <f>IF(K23&gt;=1%,"berdasarkan penilaian pimpinan","")</f>
        <v>berdasarkan penilaian pimpinan</v>
      </c>
      <c r="M23" s="228" t="str">
        <f t="shared" ref="M23:M43" si="1">IF(Q23="Sangat Baik","C",IF(Q23="Baik","J",IF(Q23="Cukup","K",IF(Q23="Kurang","L",""))))</f>
        <v>C</v>
      </c>
      <c r="N23" s="274" t="str">
        <f>IF(K23="","",IF(Q23="Sangat Baik","Bagus, sudah amat baik, pertahankan.",IF(Q23="Baik","Bagus, sudah baik, dapat lebih ditingkatkan.",IF(Q23="Cukup","Cukup baik, ada baiknya perlu sekali ditingkatkan.",IF(Q23="Kurang","Kurang, sangat perlu perbaikan secara menyeluruh.","")))))</f>
        <v>Bagus, sudah amat baik, pertahankan.</v>
      </c>
      <c r="O23" s="113"/>
      <c r="P23" s="109">
        <f t="shared" si="0"/>
        <v>94.736842105263165</v>
      </c>
      <c r="Q23" s="105" t="str">
        <f t="shared" ref="Q23:Q36" si="2">IF(P23&lt;=50,("Buruk"),IF(P23&lt;=60,("Kurang"),IF(P23&lt;=75,("Cukup"),IF(P23&lt;=90,("Baik"),("Sangat Baik")))))</f>
        <v>Sangat Baik</v>
      </c>
      <c r="S23" s="227" t="s">
        <v>64</v>
      </c>
      <c r="T23" s="227" t="s">
        <v>58</v>
      </c>
      <c r="U23" s="227" t="s">
        <v>241</v>
      </c>
      <c r="V23" s="227" t="s">
        <v>242</v>
      </c>
    </row>
    <row r="24" spans="1:22" s="106" customFormat="1" ht="48.75" customHeight="1" x14ac:dyDescent="0.25">
      <c r="A24" s="113"/>
      <c r="B24" s="635"/>
      <c r="C24" s="582"/>
      <c r="D24" s="641"/>
      <c r="E24" s="642"/>
      <c r="F24" s="267" t="str">
        <f>'SKP JF (KUANTITATIF)'!G19&amp;""</f>
        <v>Waktu</v>
      </c>
      <c r="G24" s="643" t="str">
        <f>'SKP JF (KUANTITATIF)'!H19&amp;""</f>
        <v>Ketepatan waktu pelaksanaan kegiatan.</v>
      </c>
      <c r="H24" s="644"/>
      <c r="I24" s="272">
        <f>'SKP JF (KUANTITATIF)'!J19</f>
        <v>1</v>
      </c>
      <c r="J24" s="269" t="str">
        <f>'SKP JF (KUANTITATIF)'!K19&amp;""</f>
        <v>Bulan</v>
      </c>
      <c r="K24" s="273">
        <v>1</v>
      </c>
      <c r="L24" s="271" t="str">
        <f>IF(K24&gt;=1,"bulan berdasarkan waktu kegiatan","")</f>
        <v>bulan berdasarkan waktu kegiatan</v>
      </c>
      <c r="M24" s="228" t="str">
        <f t="shared" si="1"/>
        <v>C</v>
      </c>
      <c r="N24" s="274" t="str">
        <f>IF(K24="","",IF(Q24="Sangat Baik","Bagus, sudah amat baik, pertahankan.",IF(Q24="Baik","Bagus, sudah baik, dapat lebih ditingkatkan.",IF(Q24="Cukup","Cukup baik, ada baiknya perlu sekali ditingkatkan.",IF(Q24="Kurang","Kurang, sangat perlu perbaikan secara menyeluruh.","")))))</f>
        <v>Bagus, sudah amat baik, pertahankan.</v>
      </c>
      <c r="O24" s="113"/>
      <c r="P24" s="109">
        <f t="shared" si="0"/>
        <v>100</v>
      </c>
      <c r="Q24" s="105" t="str">
        <f t="shared" si="2"/>
        <v>Sangat Baik</v>
      </c>
      <c r="S24" s="69"/>
      <c r="T24" s="227" t="s">
        <v>275</v>
      </c>
      <c r="U24" s="318">
        <v>91</v>
      </c>
      <c r="V24" s="227" t="str">
        <f>IF(U24&lt;=50,("Buruk"),IF(U24&lt;=60,("Kurang"),IF(U24&lt;=75,("Cukup"),IF(U24&lt;=90,("Baik"),("Sangat Baik")))))</f>
        <v>Sangat Baik</v>
      </c>
    </row>
    <row r="25" spans="1:22" s="106" customFormat="1" ht="51.75" customHeight="1" x14ac:dyDescent="0.25">
      <c r="A25" s="113"/>
      <c r="B25" s="645" t="str">
        <f>'SKP JF (KUANTITATIF)'!B20&amp;""</f>
        <v>2</v>
      </c>
      <c r="C25" s="561" t="str">
        <f>'SKP JF (KUANTITATIF)'!C20&amp;""</f>
        <v>Meningkatnya aksesibilitas dan kualitas Pendidikan Dasar Dinas Pendidikan Kab. Lampung Utara</v>
      </c>
      <c r="D25" s="643" t="str">
        <f>'SKP JF (KUANTITATIF)'!D20&amp;""</f>
        <v>Laporan pelaksanaan tugas pokok kepala sekolah (Manajerial, Kewirausahaan, Supervisi Guru dan Tendik) dalam penyelenggaraan dan atau pengelolaan Sekolah.</v>
      </c>
      <c r="E25" s="644"/>
      <c r="F25" s="267" t="str">
        <f>'SKP JF (KUANTITATIF)'!G20&amp;""</f>
        <v>Kuantitas</v>
      </c>
      <c r="G25" s="643" t="str">
        <f>'SKP JF (KUANTITATIF)'!H20&amp;""</f>
        <v>Jumlah Laporan Pengawasan</v>
      </c>
      <c r="H25" s="644"/>
      <c r="I25" s="286">
        <f>'SKP JF (KUANTITATIF)'!J20</f>
        <v>1</v>
      </c>
      <c r="J25" s="269" t="str">
        <f>'SKP JF (KUANTITATIF)'!K20&amp;""</f>
        <v>Laporan</v>
      </c>
      <c r="K25" s="273">
        <v>1</v>
      </c>
      <c r="L25" s="271" t="str">
        <f>IF(K25&gt;=1,"berdasarkan penilaian pimpinan","")</f>
        <v>berdasarkan penilaian pimpinan</v>
      </c>
      <c r="M25" s="228" t="str">
        <f t="shared" si="1"/>
        <v>C</v>
      </c>
      <c r="N25" s="274" t="str">
        <f>IF(K25="","",IF(Q25="Sangat Baik","Bagus, sudah amat baik, pertahankan.",IF(Q25="Baik","Bagus, sudah baik, dapat lebih ditingkatkan.",IF(Q25="Cukup","Cukup baik, ada baiknya perlu sekali ditingkatkan.",IF(Q25="Kurang","Kurang, sangat perlu perbaikan secara menyeluruh.","")))))</f>
        <v>Bagus, sudah amat baik, pertahankan.</v>
      </c>
      <c r="O25" s="113"/>
      <c r="P25" s="109">
        <f t="shared" si="0"/>
        <v>100</v>
      </c>
      <c r="Q25" s="105" t="str">
        <f t="shared" si="2"/>
        <v>Sangat Baik</v>
      </c>
      <c r="R25" s="69"/>
      <c r="S25" s="69"/>
      <c r="T25" s="69"/>
      <c r="U25" s="69"/>
    </row>
    <row r="26" spans="1:22" s="106" customFormat="1" ht="51.75" customHeight="1" x14ac:dyDescent="0.25">
      <c r="A26" s="113"/>
      <c r="B26" s="645"/>
      <c r="C26" s="584"/>
      <c r="D26" s="643"/>
      <c r="E26" s="644"/>
      <c r="F26" s="267" t="str">
        <f>'SKP JF (KUANTITATIF)'!G21&amp;""</f>
        <v>Kualitas</v>
      </c>
      <c r="G26" s="643" t="str">
        <f>'SKP JF (KUANTITATIF)'!H21&amp;""</f>
        <v>Materi Pengawasan, instrumen, daftar hadir, suket kegiatan dari KS.</v>
      </c>
      <c r="H26" s="644"/>
      <c r="I26" s="268">
        <f>'SKP JF (KUANTITATIF)'!J21</f>
        <v>0.95</v>
      </c>
      <c r="J26" s="269" t="str">
        <f>'SKP JF (KUANTITATIF)'!K21&amp;""</f>
        <v>(Persen)</v>
      </c>
      <c r="K26" s="270">
        <v>0.9</v>
      </c>
      <c r="L26" s="271" t="str">
        <f>IF(K26&gt;=1%,"berdasarkan penilaian pimpinan","")</f>
        <v>berdasarkan penilaian pimpinan</v>
      </c>
      <c r="M26" s="228" t="str">
        <f t="shared" si="1"/>
        <v>C</v>
      </c>
      <c r="N26" s="274" t="str">
        <f>IF(K26="","",IF(Q26="Sangat Baik","Bagus, sudah amat baik, pertahankan.",IF(Q26="Baik","Bagus, sudah baik, dapat lebih ditingkatkan.",IF(Q26="Cukup","Cukup baik, ada baiknya perlu sekali ditingkatkan.",IF(Q26="Kurang","Kurang, sangat perlu perbaikan secara menyeluruh.","")))))</f>
        <v>Bagus, sudah amat baik, pertahankan.</v>
      </c>
      <c r="O26" s="113"/>
      <c r="P26" s="109">
        <f t="shared" si="0"/>
        <v>94.736842105263165</v>
      </c>
      <c r="Q26" s="105" t="str">
        <f t="shared" si="2"/>
        <v>Sangat Baik</v>
      </c>
      <c r="R26" s="69"/>
      <c r="S26" s="69"/>
      <c r="T26" s="69"/>
      <c r="U26" s="69"/>
    </row>
    <row r="27" spans="1:22" s="106" customFormat="1" ht="51.75" customHeight="1" x14ac:dyDescent="0.25">
      <c r="A27" s="113"/>
      <c r="B27" s="645"/>
      <c r="C27" s="584"/>
      <c r="D27" s="643"/>
      <c r="E27" s="644"/>
      <c r="F27" s="267" t="str">
        <f>'SKP JF (KUANTITATIF)'!G22&amp;""</f>
        <v>Waktu</v>
      </c>
      <c r="G27" s="643" t="str">
        <f>'SKP JF (KUANTITATIF)'!H22&amp;""</f>
        <v>Ketepatan waktu pelaksanaan kegiatan.</v>
      </c>
      <c r="H27" s="644"/>
      <c r="I27" s="272">
        <f>'SKP JF (KUANTITATIF)'!J22</f>
        <v>12</v>
      </c>
      <c r="J27" s="269" t="str">
        <f>'SKP JF (KUANTITATIF)'!K22&amp;""</f>
        <v>Bulan</v>
      </c>
      <c r="K27" s="273">
        <v>12</v>
      </c>
      <c r="L27" s="271" t="str">
        <f>IF(K27&gt;=1,"bulan berdasarkan waktu kegiatan","")</f>
        <v>bulan berdasarkan waktu kegiatan</v>
      </c>
      <c r="M27" s="228" t="str">
        <f t="shared" si="1"/>
        <v>C</v>
      </c>
      <c r="N27" s="274" t="str">
        <f t="shared" ref="N27:N32" si="3">IF(K27="","",IF(Q27="Sangat Baik","Bagus, sudah amat baik, pertahankan.",IF(Q27="Baik","Bagus, sudah baik, dapat lebih ditingkatkan.",IF(Q27="Cukup","Cukup baik, ada baiknya perlu sekali ditingkatkan.",IF(Q27="Kurang","Kurang, sangat perlu perbaikan secara menyeluruh.","")))))</f>
        <v>Bagus, sudah amat baik, pertahankan.</v>
      </c>
      <c r="O27" s="113"/>
      <c r="P27" s="109">
        <f t="shared" si="0"/>
        <v>100</v>
      </c>
      <c r="Q27" s="105" t="str">
        <f t="shared" si="2"/>
        <v>Sangat Baik</v>
      </c>
      <c r="R27" s="69"/>
      <c r="S27" s="69"/>
      <c r="T27" s="69"/>
      <c r="U27" s="69"/>
    </row>
    <row r="28" spans="1:22" s="106" customFormat="1" ht="49.5" customHeight="1" x14ac:dyDescent="0.25">
      <c r="A28" s="113"/>
      <c r="B28" s="645" t="str">
        <f>'SKP JF (KUANTITATIF)'!B23&amp;""</f>
        <v>3</v>
      </c>
      <c r="C28" s="561" t="str">
        <f>'SKP JF (KUANTITATIF)'!C23&amp;""</f>
        <v>Laporan Pelaksanaan kegiatan Program Peningkatan aksesibilitas dan kualitas pendidikan Dinas Pendidikan Kab. Lampung Utara</v>
      </c>
      <c r="D28" s="643" t="str">
        <f>'SKP JF (KUANTITATIF)'!D23&amp;""</f>
        <v>Laporan Evaluasi dan ketercapaian program kerja pelaksanaan tugas pokok kepala sekolah (Manajerial, Kewirausahaan, Supervisi) dalam bentuk EDS dan atau Analisis Hasil Rapor Pendidikan (PBD).</v>
      </c>
      <c r="E28" s="644"/>
      <c r="F28" s="267" t="str">
        <f>'SKP JF (KUANTITATIF)'!G23&amp;""</f>
        <v>Kuantitas</v>
      </c>
      <c r="G28" s="643" t="str">
        <f>'SKP JF (KUANTITATIF)'!H23&amp;""</f>
        <v>Jumlah Laporan Bimlat Guru dan KS.</v>
      </c>
      <c r="H28" s="644"/>
      <c r="I28" s="286">
        <f>'SKP JF (KUANTITATIF)'!J23</f>
        <v>1</v>
      </c>
      <c r="J28" s="269" t="str">
        <f>'SKP JF (KUANTITATIF)'!K23&amp;""</f>
        <v>Laporan</v>
      </c>
      <c r="K28" s="273">
        <v>1</v>
      </c>
      <c r="L28" s="271" t="str">
        <f>IF(K28&gt;=1,"berdasarkan penilaian pimpinan","")</f>
        <v>berdasarkan penilaian pimpinan</v>
      </c>
      <c r="M28" s="228" t="str">
        <f t="shared" si="1"/>
        <v>C</v>
      </c>
      <c r="N28" s="274" t="str">
        <f t="shared" si="3"/>
        <v>Bagus, sudah amat baik, pertahankan.</v>
      </c>
      <c r="O28" s="113"/>
      <c r="P28" s="109">
        <f t="shared" si="0"/>
        <v>100</v>
      </c>
      <c r="Q28" s="105" t="str">
        <f t="shared" si="2"/>
        <v>Sangat Baik</v>
      </c>
      <c r="R28" s="69"/>
      <c r="S28" s="69"/>
      <c r="T28" s="69"/>
      <c r="U28" s="69"/>
    </row>
    <row r="29" spans="1:22" s="106" customFormat="1" ht="53.25" customHeight="1" x14ac:dyDescent="0.25">
      <c r="A29" s="113"/>
      <c r="B29" s="645"/>
      <c r="C29" s="584"/>
      <c r="D29" s="643"/>
      <c r="E29" s="644"/>
      <c r="F29" s="267" t="str">
        <f>'SKP JF (KUANTITATIF)'!G24&amp;""</f>
        <v>Kualitas</v>
      </c>
      <c r="G29" s="643" t="str">
        <f>'SKP JF (KUANTITATIF)'!H24&amp;""</f>
        <v>Materi Instrumen Pengawasan sekolah, daftar hadir, suket dari KS.</v>
      </c>
      <c r="H29" s="644"/>
      <c r="I29" s="268">
        <f>'SKP JF (KUANTITATIF)'!J24</f>
        <v>0.95</v>
      </c>
      <c r="J29" s="269" t="str">
        <f>'SKP JF (KUANTITATIF)'!K24&amp;""</f>
        <v>(Persen)</v>
      </c>
      <c r="K29" s="270">
        <v>0.9</v>
      </c>
      <c r="L29" s="271" t="str">
        <f>IF(K29&gt;=1%,"berdasarkan penilaian pimpinan","")</f>
        <v>berdasarkan penilaian pimpinan</v>
      </c>
      <c r="M29" s="228" t="str">
        <f t="shared" si="1"/>
        <v>C</v>
      </c>
      <c r="N29" s="274" t="str">
        <f t="shared" si="3"/>
        <v>Bagus, sudah amat baik, pertahankan.</v>
      </c>
      <c r="O29" s="113"/>
      <c r="P29" s="109">
        <f t="shared" si="0"/>
        <v>94.736842105263165</v>
      </c>
      <c r="Q29" s="105" t="str">
        <f t="shared" si="2"/>
        <v>Sangat Baik</v>
      </c>
      <c r="R29" s="69"/>
      <c r="S29" s="69"/>
      <c r="T29" s="69"/>
      <c r="U29" s="69"/>
    </row>
    <row r="30" spans="1:22" s="106" customFormat="1" ht="56.25" customHeight="1" x14ac:dyDescent="0.25">
      <c r="A30" s="113"/>
      <c r="B30" s="645"/>
      <c r="C30" s="584"/>
      <c r="D30" s="643"/>
      <c r="E30" s="644"/>
      <c r="F30" s="267" t="str">
        <f>'SKP JF (KUANTITATIF)'!G25&amp;""</f>
        <v>Waktu</v>
      </c>
      <c r="G30" s="643" t="str">
        <f>'SKP JF (KUANTITATIF)'!H25&amp;""</f>
        <v>Ketepatan waktu pelaksanaan kegiatan.</v>
      </c>
      <c r="H30" s="644"/>
      <c r="I30" s="272">
        <f>'SKP JF (KUANTITATIF)'!J25</f>
        <v>6</v>
      </c>
      <c r="J30" s="269" t="str">
        <f>'SKP JF (KUANTITATIF)'!K25&amp;""</f>
        <v>Bulan</v>
      </c>
      <c r="K30" s="273">
        <v>6</v>
      </c>
      <c r="L30" s="271" t="str">
        <f>IF(K30&gt;=1,"bulan berdasarkan waktu kegiatan","")</f>
        <v>bulan berdasarkan waktu kegiatan</v>
      </c>
      <c r="M30" s="228" t="str">
        <f t="shared" si="1"/>
        <v>C</v>
      </c>
      <c r="N30" s="274" t="str">
        <f t="shared" si="3"/>
        <v>Bagus, sudah amat baik, pertahankan.</v>
      </c>
      <c r="O30" s="113"/>
      <c r="P30" s="109">
        <f t="shared" si="0"/>
        <v>100</v>
      </c>
      <c r="Q30" s="105" t="str">
        <f t="shared" si="2"/>
        <v>Sangat Baik</v>
      </c>
      <c r="R30" s="69"/>
      <c r="S30" s="69"/>
      <c r="T30" s="69"/>
      <c r="U30" s="69"/>
    </row>
    <row r="31" spans="1:22" s="106" customFormat="1" ht="49.5" customHeight="1" x14ac:dyDescent="0.25">
      <c r="A31" s="113"/>
      <c r="B31" s="633" t="str">
        <f>'SKP JF (KUANTITATIF)'!B26&amp;""</f>
        <v>4</v>
      </c>
      <c r="C31" s="636" t="str">
        <f>'SKP JF (KUANTITATIF)'!C26&amp;""</f>
        <v>Laporan Evaluasi Hasil Program Peningkatan aksesibilitas dan kualitas sesuai peraturan yang berlaku secara efektif dan efisien.</v>
      </c>
      <c r="D31" s="637" t="str">
        <f>'SKP JF (KUANTITATIF)'!D26&amp;""</f>
        <v>Laporan Pengembangan Keprofesian Berkelanjutan Kepala Sekolah dalam bentuk Diklat fungsional kepala sekolah dan atau Karya Tulis Ilmiah Kepala Sekolah.</v>
      </c>
      <c r="E31" s="638"/>
      <c r="F31" s="267" t="str">
        <f>'SKP JF (KUANTITATIF)'!G26&amp;""</f>
        <v>Kuantitas</v>
      </c>
      <c r="G31" s="643" t="str">
        <f>'SKP JF (KUANTITATIF)'!H26&amp;""</f>
        <v>Jumlah Laporan Evaluasi Pengawasan</v>
      </c>
      <c r="H31" s="644"/>
      <c r="I31" s="286">
        <f>'SKP JF (KUANTITATIF)'!J26</f>
        <v>1</v>
      </c>
      <c r="J31" s="269" t="str">
        <f>'SKP JF (KUANTITATIF)'!K26&amp;""</f>
        <v>Laporan</v>
      </c>
      <c r="K31" s="273">
        <v>1</v>
      </c>
      <c r="L31" s="271" t="str">
        <f>IF(K31&gt;=1,"berdasarkan penilaian pimpinan","")</f>
        <v>berdasarkan penilaian pimpinan</v>
      </c>
      <c r="M31" s="228" t="str">
        <f t="shared" si="1"/>
        <v>C</v>
      </c>
      <c r="N31" s="274" t="str">
        <f t="shared" si="3"/>
        <v>Bagus, sudah amat baik, pertahankan.</v>
      </c>
      <c r="O31" s="113"/>
      <c r="P31" s="109">
        <f t="shared" si="0"/>
        <v>100</v>
      </c>
      <c r="Q31" s="105" t="str">
        <f t="shared" si="2"/>
        <v>Sangat Baik</v>
      </c>
      <c r="R31" s="69"/>
      <c r="S31" s="69"/>
      <c r="T31" s="69"/>
      <c r="U31" s="69"/>
    </row>
    <row r="32" spans="1:22" s="106" customFormat="1" ht="53.25" customHeight="1" x14ac:dyDescent="0.25">
      <c r="A32" s="113"/>
      <c r="B32" s="634"/>
      <c r="C32" s="581"/>
      <c r="D32" s="639"/>
      <c r="E32" s="640"/>
      <c r="F32" s="267" t="str">
        <f>'SKP JF (KUANTITATIF)'!G27&amp;""</f>
        <v>Kualitas</v>
      </c>
      <c r="G32" s="643" t="str">
        <f>'SKP JF (KUANTITATIF)'!H27&amp;""</f>
        <v>Instrumen Evaluasi Pengawasan, dafhad, suket kegiatan dari KS.</v>
      </c>
      <c r="H32" s="644"/>
      <c r="I32" s="268">
        <f>'SKP JF (KUANTITATIF)'!J27</f>
        <v>0.95</v>
      </c>
      <c r="J32" s="269" t="str">
        <f>'SKP JF (KUANTITATIF)'!K27&amp;""</f>
        <v>(Persen)</v>
      </c>
      <c r="K32" s="270">
        <v>0.85</v>
      </c>
      <c r="L32" s="271" t="str">
        <f>IF(K32&gt;=1%,"berdasarkan penilaian pimpinan","")</f>
        <v>berdasarkan penilaian pimpinan</v>
      </c>
      <c r="M32" s="228" t="str">
        <f t="shared" si="1"/>
        <v>J</v>
      </c>
      <c r="N32" s="274" t="str">
        <f t="shared" si="3"/>
        <v>Bagus, sudah baik, dapat lebih ditingkatkan.</v>
      </c>
      <c r="O32" s="113"/>
      <c r="P32" s="109">
        <f t="shared" si="0"/>
        <v>89.473684210526315</v>
      </c>
      <c r="Q32" s="105" t="str">
        <f t="shared" si="2"/>
        <v>Baik</v>
      </c>
      <c r="R32" s="69"/>
      <c r="S32" s="69"/>
      <c r="T32" s="69"/>
      <c r="U32" s="69"/>
    </row>
    <row r="33" spans="1:25" s="106" customFormat="1" ht="56.25" customHeight="1" x14ac:dyDescent="0.25">
      <c r="A33" s="113"/>
      <c r="B33" s="635"/>
      <c r="C33" s="582"/>
      <c r="D33" s="641"/>
      <c r="E33" s="642"/>
      <c r="F33" s="267" t="str">
        <f>'SKP JF (KUANTITATIF)'!G28&amp;""</f>
        <v>Waktu</v>
      </c>
      <c r="G33" s="643" t="str">
        <f>'SKP JF (KUANTITATIF)'!H28&amp;""</f>
        <v>Ketepatan waktu pelaksanaan kegiatan.</v>
      </c>
      <c r="H33" s="644"/>
      <c r="I33" s="272">
        <f>'SKP JF (KUANTITATIF)'!J28</f>
        <v>2</v>
      </c>
      <c r="J33" s="269" t="str">
        <f>'SKP JF (KUANTITATIF)'!K28&amp;""</f>
        <v>Bulan</v>
      </c>
      <c r="K33" s="273">
        <v>2</v>
      </c>
      <c r="L33" s="271" t="str">
        <f>IF(K33&gt;=1,"bulan berdasarkan waktu kegiatan","")</f>
        <v>bulan berdasarkan waktu kegiatan</v>
      </c>
      <c r="M33" s="228" t="str">
        <f t="shared" si="1"/>
        <v>C</v>
      </c>
      <c r="N33" s="274" t="str">
        <f t="shared" ref="N33:N36" si="4">IF(K33="","",IF(Q33="Sangat Baik","Bagus, sudah amat baik, pertahankan.",IF(Q33="Baik","Bagus, sudah baik, dapat lebih ditingkatkan.",IF(Q33="Cukup","Cukup baik, ada baiknya perlu sekali ditingkatkan.",IF(Q33="Kurang","Kurang, sangat perlu perbaikan secara menyeluruh.","")))))</f>
        <v>Bagus, sudah amat baik, pertahankan.</v>
      </c>
      <c r="O33" s="113"/>
      <c r="P33" s="109">
        <f t="shared" si="0"/>
        <v>100</v>
      </c>
      <c r="Q33" s="105" t="str">
        <f t="shared" si="2"/>
        <v>Sangat Baik</v>
      </c>
      <c r="R33" s="69"/>
      <c r="S33" s="69"/>
      <c r="T33" s="69"/>
      <c r="U33" s="69"/>
    </row>
    <row r="34" spans="1:25" s="106" customFormat="1" ht="54.75" customHeight="1" x14ac:dyDescent="0.25">
      <c r="A34" s="113"/>
      <c r="B34" s="633" t="str">
        <f>'SKP JF (KUANTITATIF)'!B29&amp;""</f>
        <v>5</v>
      </c>
      <c r="C34" s="636" t="str">
        <f>'SKP JF (KUANTITATIF)'!C29&amp;""</f>
        <v>Dokumen kegiatan peningkatan kompetensi dan pengembangan karir ASN di lingkungan Dinas Pendidikan Kab. Lampung Utara</v>
      </c>
      <c r="D34" s="637" t="str">
        <f>'SKP JF (KUANTITATIF)'!D29&amp;""</f>
        <v>Dokumen kegiatan tugas tambahan sebagai Pengurus atau MKKS/KKKS Kab. Lampung Utara</v>
      </c>
      <c r="E34" s="638"/>
      <c r="F34" s="267" t="str">
        <f>'SKP JF (KUANTITATIF)'!G29&amp;""</f>
        <v>Kuantitas</v>
      </c>
      <c r="G34" s="643" t="str">
        <f>'SKP JF (KUANTITATIF)'!H29&amp;""</f>
        <v>Jumlah Laporan Pengembangan Diri</v>
      </c>
      <c r="H34" s="644"/>
      <c r="I34" s="286">
        <f>'SKP JF (KUANTITATIF)'!J29</f>
        <v>1</v>
      </c>
      <c r="J34" s="269" t="str">
        <f>'SKP JF (KUANTITATIF)'!K29&amp;""</f>
        <v>Laporan</v>
      </c>
      <c r="K34" s="273">
        <v>1</v>
      </c>
      <c r="L34" s="271" t="str">
        <f>IF(K34&gt;=1,"berdasarkan penilaian pimpinan","")</f>
        <v>berdasarkan penilaian pimpinan</v>
      </c>
      <c r="M34" s="228" t="str">
        <f t="shared" si="1"/>
        <v>C</v>
      </c>
      <c r="N34" s="274" t="str">
        <f t="shared" si="4"/>
        <v>Bagus, sudah amat baik, pertahankan.</v>
      </c>
      <c r="O34" s="113"/>
      <c r="P34" s="109">
        <f t="shared" si="0"/>
        <v>100</v>
      </c>
      <c r="Q34" s="105" t="str">
        <f t="shared" si="2"/>
        <v>Sangat Baik</v>
      </c>
      <c r="R34" s="69"/>
      <c r="S34" s="69"/>
      <c r="T34" s="69"/>
      <c r="U34" s="69"/>
    </row>
    <row r="35" spans="1:25" s="106" customFormat="1" ht="54.75" customHeight="1" x14ac:dyDescent="0.25">
      <c r="A35" s="113"/>
      <c r="B35" s="634"/>
      <c r="C35" s="581"/>
      <c r="D35" s="639"/>
      <c r="E35" s="640"/>
      <c r="F35" s="267" t="str">
        <f>'SKP JF (KUANTITATIF)'!G30&amp;""</f>
        <v>Kualitas</v>
      </c>
      <c r="G35" s="643" t="str">
        <f>'SKP JF (KUANTITATIF)'!H30&amp;""</f>
        <v>Laporan PD, daftar hadir, suket kegiatan dari Korwas.</v>
      </c>
      <c r="H35" s="644"/>
      <c r="I35" s="268">
        <f>'SKP JF (KUANTITATIF)'!J30</f>
        <v>0.95</v>
      </c>
      <c r="J35" s="269" t="str">
        <f>'SKP JF (KUANTITATIF)'!K30&amp;""</f>
        <v>(Persen)</v>
      </c>
      <c r="K35" s="270">
        <v>0.9</v>
      </c>
      <c r="L35" s="271" t="str">
        <f>IF(K35&gt;=1%,"berdasarkan penilaian pimpinan","")</f>
        <v>berdasarkan penilaian pimpinan</v>
      </c>
      <c r="M35" s="228" t="str">
        <f t="shared" si="1"/>
        <v>C</v>
      </c>
      <c r="N35" s="274" t="str">
        <f t="shared" si="4"/>
        <v>Bagus, sudah amat baik, pertahankan.</v>
      </c>
      <c r="O35" s="113"/>
      <c r="P35" s="109">
        <f t="shared" si="0"/>
        <v>94.736842105263165</v>
      </c>
      <c r="Q35" s="105" t="str">
        <f t="shared" si="2"/>
        <v>Sangat Baik</v>
      </c>
      <c r="R35" s="69"/>
      <c r="S35" s="69"/>
      <c r="T35" s="69"/>
      <c r="U35" s="69"/>
    </row>
    <row r="36" spans="1:25" s="106" customFormat="1" ht="54.75" customHeight="1" x14ac:dyDescent="0.25">
      <c r="A36" s="113"/>
      <c r="B36" s="635"/>
      <c r="C36" s="582"/>
      <c r="D36" s="641"/>
      <c r="E36" s="642"/>
      <c r="F36" s="267" t="str">
        <f>'SKP JF (KUANTITATIF)'!G31&amp;""</f>
        <v>Waktu</v>
      </c>
      <c r="G36" s="643" t="str">
        <f>'SKP JF (KUANTITATIF)'!H31&amp;""</f>
        <v>Ketepatan waktu pelaksanaan kegiatan.</v>
      </c>
      <c r="H36" s="644"/>
      <c r="I36" s="272">
        <f>'SKP JF (KUANTITATIF)'!J31</f>
        <v>3</v>
      </c>
      <c r="J36" s="269" t="str">
        <f>'SKP JF (KUANTITATIF)'!K31&amp;""</f>
        <v>Bulan</v>
      </c>
      <c r="K36" s="273">
        <v>3</v>
      </c>
      <c r="L36" s="271" t="str">
        <f>IF(K36&gt;=1,"bulan berdasarkan waktu kegiatan","")</f>
        <v>bulan berdasarkan waktu kegiatan</v>
      </c>
      <c r="M36" s="228" t="str">
        <f t="shared" si="1"/>
        <v>C</v>
      </c>
      <c r="N36" s="274" t="str">
        <f t="shared" si="4"/>
        <v>Bagus, sudah amat baik, pertahankan.</v>
      </c>
      <c r="O36" s="113"/>
      <c r="P36" s="109">
        <f t="shared" si="0"/>
        <v>100</v>
      </c>
      <c r="Q36" s="105" t="str">
        <f t="shared" si="2"/>
        <v>Sangat Baik</v>
      </c>
      <c r="R36" s="69"/>
      <c r="S36" s="69"/>
      <c r="T36" s="69"/>
      <c r="U36" s="69"/>
    </row>
    <row r="37" spans="1:25" x14ac:dyDescent="0.25">
      <c r="A37" s="110"/>
      <c r="B37" s="711" t="s">
        <v>24</v>
      </c>
      <c r="C37" s="712"/>
      <c r="D37" s="712"/>
      <c r="E37" s="712"/>
      <c r="F37" s="712"/>
      <c r="G37" s="712"/>
      <c r="H37" s="712"/>
      <c r="I37" s="712"/>
      <c r="J37" s="712"/>
      <c r="K37" s="712"/>
      <c r="L37" s="712"/>
      <c r="M37" s="712"/>
      <c r="N37" s="713"/>
      <c r="O37" s="110"/>
    </row>
    <row r="38" spans="1:25" s="106" customFormat="1" ht="49.5" customHeight="1" x14ac:dyDescent="0.25">
      <c r="A38" s="113"/>
      <c r="B38" s="645" t="str">
        <f>'SKP JF (KUANTITATIF)'!B33&amp;""</f>
        <v>1</v>
      </c>
      <c r="C38" s="561" t="str">
        <f>'SKP JF (KUANTITATIF)'!C33&amp;""</f>
        <v>Dokumen tugas kedinasan lain yang diberikan pimpinan baik lisan maupun tertulis dilingkungan Dinas Pendidikan Kab. Lampung Utara</v>
      </c>
      <c r="D38" s="643" t="str">
        <f>'SKP JF (KUANTITATIF)'!D33&amp;""</f>
        <v>Dokumen kegiatan tugas tambahan sebagai Anggota / Pengurus MKKS/PGRI Kab. Barito Timur.</v>
      </c>
      <c r="E38" s="644"/>
      <c r="F38" s="267" t="str">
        <f>'SKP JF (KUANTITATIF)'!G33&amp;""</f>
        <v>Kuantitas</v>
      </c>
      <c r="G38" s="643" t="str">
        <f>'SKP JF (KUANTITATIF)'!H33&amp;""</f>
        <v>Jumlah Satuan Kegiatan</v>
      </c>
      <c r="H38" s="644"/>
      <c r="I38" s="286">
        <f>'SKP JF (KUANTITATIF)'!J33</f>
        <v>1</v>
      </c>
      <c r="J38" s="269" t="str">
        <f>'SKP JF (KUANTITATIF)'!K33&amp;""</f>
        <v>Dokumen</v>
      </c>
      <c r="K38" s="273">
        <v>1</v>
      </c>
      <c r="L38" s="271" t="str">
        <f>IF(K38&gt;=1,"berdasarkan penilaian pimpinan","")</f>
        <v>berdasarkan penilaian pimpinan</v>
      </c>
      <c r="M38" s="228" t="str">
        <f t="shared" ref="M38:M40" si="5">IF(Q38="Sangat Baik","C",IF(Q38="Baik","J",IF(Q38="Cukup","K",IF(Q38="Kurang","L",""))))</f>
        <v>C</v>
      </c>
      <c r="N38" s="274" t="str">
        <f t="shared" ref="N38:N43" si="6">IF(K38="","",IF(Q38="Sangat Baik","Bagus, sudah amat baik, pertahankan.",IF(Q38="Baik","Bagus, sudah baik, dapat lebih ditingkatkan.",IF(Q38="Cukup","Cukup baik, ada baiknya perlu sekali ditingkatkan.",IF(Q38="Kurang","Kurang, sangat perlu perbaikan secara menyeluruh.","")))))</f>
        <v>Bagus, sudah amat baik, pertahankan.</v>
      </c>
      <c r="O38" s="113"/>
      <c r="P38" s="109">
        <f t="shared" ref="P38:P40" si="7">(K38/I38)*100</f>
        <v>100</v>
      </c>
      <c r="Q38" s="105" t="str">
        <f t="shared" ref="Q38:Q40" si="8">IF(P38&lt;=50,("Buruk"),IF(P38&lt;=60,("Kurang"),IF(P38&lt;=75,("Cukup"),IF(P38&lt;=90,("Baik"),("Sangat Baik")))))</f>
        <v>Sangat Baik</v>
      </c>
      <c r="R38" s="69"/>
      <c r="S38" s="69"/>
      <c r="T38" s="69"/>
      <c r="U38" s="69"/>
    </row>
    <row r="39" spans="1:25" s="106" customFormat="1" ht="48.75" customHeight="1" x14ac:dyDescent="0.25">
      <c r="A39" s="113"/>
      <c r="B39" s="645"/>
      <c r="C39" s="584"/>
      <c r="D39" s="643"/>
      <c r="E39" s="644"/>
      <c r="F39" s="267" t="str">
        <f>'SKP JF (KUANTITATIF)'!G34&amp;""</f>
        <v>Kualitas</v>
      </c>
      <c r="G39" s="643" t="str">
        <f>'SKP JF (KUANTITATIF)'!H34&amp;""</f>
        <v>Dokumen Tugas Tambahan sebagai Pengurus APSI</v>
      </c>
      <c r="H39" s="644"/>
      <c r="I39" s="268">
        <f>'SKP JF (KUANTITATIF)'!J34</f>
        <v>0.95</v>
      </c>
      <c r="J39" s="269" t="str">
        <f>'SKP JF (KUANTITATIF)'!K34&amp;""</f>
        <v>(Persen)</v>
      </c>
      <c r="K39" s="270">
        <v>0.9</v>
      </c>
      <c r="L39" s="271" t="str">
        <f>IF(K39&gt;=1%,"berdasarkan penilaian pimpinan","")</f>
        <v>berdasarkan penilaian pimpinan</v>
      </c>
      <c r="M39" s="228" t="str">
        <f t="shared" si="5"/>
        <v>C</v>
      </c>
      <c r="N39" s="274" t="str">
        <f t="shared" si="6"/>
        <v>Bagus, sudah amat baik, pertahankan.</v>
      </c>
      <c r="O39" s="113"/>
      <c r="P39" s="109">
        <f t="shared" si="7"/>
        <v>94.736842105263165</v>
      </c>
      <c r="Q39" s="105" t="str">
        <f t="shared" si="8"/>
        <v>Sangat Baik</v>
      </c>
      <c r="R39" s="69"/>
      <c r="S39" s="69"/>
      <c r="T39" s="69"/>
      <c r="U39" s="69"/>
    </row>
    <row r="40" spans="1:25" s="106" customFormat="1" ht="51.75" customHeight="1" x14ac:dyDescent="0.25">
      <c r="A40" s="113"/>
      <c r="B40" s="645"/>
      <c r="C40" s="584"/>
      <c r="D40" s="643"/>
      <c r="E40" s="644"/>
      <c r="F40" s="267" t="str">
        <f>'SKP JF (KUANTITATIF)'!G35&amp;""</f>
        <v>Waktu</v>
      </c>
      <c r="G40" s="643" t="str">
        <f>'SKP JF (KUANTITATIF)'!H35&amp;""</f>
        <v>Ketepatan waktu pelaksanaan kegiatan.</v>
      </c>
      <c r="H40" s="644"/>
      <c r="I40" s="272">
        <f>'SKP JF (KUANTITATIF)'!J35</f>
        <v>12</v>
      </c>
      <c r="J40" s="269" t="str">
        <f>'SKP JF (KUANTITATIF)'!K35&amp;""</f>
        <v>Bulan</v>
      </c>
      <c r="K40" s="273">
        <v>12</v>
      </c>
      <c r="L40" s="271" t="str">
        <f>IF(K40&gt;=1,"bulan berdasarkan waktu kegiatan","")</f>
        <v>bulan berdasarkan waktu kegiatan</v>
      </c>
      <c r="M40" s="228" t="str">
        <f t="shared" si="5"/>
        <v>C</v>
      </c>
      <c r="N40" s="274" t="str">
        <f t="shared" si="6"/>
        <v>Bagus, sudah amat baik, pertahankan.</v>
      </c>
      <c r="O40" s="113"/>
      <c r="P40" s="109">
        <f t="shared" si="7"/>
        <v>100</v>
      </c>
      <c r="Q40" s="105" t="str">
        <f t="shared" si="8"/>
        <v>Sangat Baik</v>
      </c>
      <c r="R40" s="69"/>
      <c r="S40" s="69"/>
      <c r="T40" s="69"/>
      <c r="U40" s="69"/>
    </row>
    <row r="41" spans="1:25" s="106" customFormat="1" ht="49.5" customHeight="1" x14ac:dyDescent="0.25">
      <c r="A41" s="113"/>
      <c r="B41" s="633" t="str">
        <f>'SKP JF (KUANTITATIF)'!B36&amp;""</f>
        <v>2</v>
      </c>
      <c r="C41" s="636" t="str">
        <f>'SKP JF (KUANTITATIF)'!C36&amp;""</f>
        <v>Dokumen kegiatan peningkatan kompetensi dan pengembangan karir ASN di lingkungan Dinas Pendidikan Kab. Lampung Utara</v>
      </c>
      <c r="D41" s="637" t="str">
        <f>'SKP JF (KUANTITATIF)'!D36&amp;""</f>
        <v>Dokumen kegiatan mengikuti Seminar dan atau Webinar Pendidikan di Lingkungan daerah dan Pusat.</v>
      </c>
      <c r="E41" s="638"/>
      <c r="F41" s="267" t="str">
        <f>'SKP JF (KUANTITATIF)'!G36&amp;""</f>
        <v>Kuantitas</v>
      </c>
      <c r="G41" s="643" t="str">
        <f>'SKP JF (KUANTITATIF)'!H36&amp;""</f>
        <v>Jumlah Sertifikat</v>
      </c>
      <c r="H41" s="644"/>
      <c r="I41" s="286">
        <f>'SKP JF (KUANTITATIF)'!J36</f>
        <v>1</v>
      </c>
      <c r="J41" s="269" t="str">
        <f>'SKP JF (KUANTITATIF)'!K36&amp;""</f>
        <v>Sertifikat</v>
      </c>
      <c r="K41" s="273">
        <v>1</v>
      </c>
      <c r="L41" s="271" t="str">
        <f>IF(K41&gt;=1,"berdasarkan penilaian pimpinan","")</f>
        <v>berdasarkan penilaian pimpinan</v>
      </c>
      <c r="M41" s="228" t="str">
        <f t="shared" si="1"/>
        <v>C</v>
      </c>
      <c r="N41" s="274" t="str">
        <f t="shared" si="6"/>
        <v>Bagus, sudah amat baik, pertahankan.</v>
      </c>
      <c r="O41" s="113"/>
      <c r="P41" s="109">
        <f>(K41/I41)*100</f>
        <v>100</v>
      </c>
      <c r="Q41" s="105" t="str">
        <f>IF(P41&lt;=50,("Buruk"),IF(P41&lt;=60,("Kurang"),IF(P41&lt;=75,("Cukup"),IF(P41&lt;=90,("Baik"),("Sangat Baik")))))</f>
        <v>Sangat Baik</v>
      </c>
      <c r="R41" s="69"/>
      <c r="S41" s="69"/>
      <c r="T41" s="69"/>
      <c r="U41" s="69"/>
    </row>
    <row r="42" spans="1:25" s="106" customFormat="1" ht="36.75" customHeight="1" x14ac:dyDescent="0.25">
      <c r="A42" s="113"/>
      <c r="B42" s="634"/>
      <c r="C42" s="581"/>
      <c r="D42" s="639"/>
      <c r="E42" s="640"/>
      <c r="F42" s="267" t="str">
        <f>'SKP JF (KUANTITATIF)'!G37&amp;""</f>
        <v>Kualitas</v>
      </c>
      <c r="G42" s="643" t="str">
        <f>'SKP JF (KUANTITATIF)'!H37&amp;""</f>
        <v>Sertifikat Webinar APSI Pusat sebagai peserta</v>
      </c>
      <c r="H42" s="644"/>
      <c r="I42" s="268">
        <f>'SKP JF (KUANTITATIF)'!J37</f>
        <v>0.95</v>
      </c>
      <c r="J42" s="269" t="str">
        <f>'SKP JF (KUANTITATIF)'!K37&amp;""</f>
        <v>(Persen)</v>
      </c>
      <c r="K42" s="270">
        <v>0.85</v>
      </c>
      <c r="L42" s="271" t="str">
        <f>IF(K42&gt;=1%,"berdasarkan penilaian pimpinan","")</f>
        <v>berdasarkan penilaian pimpinan</v>
      </c>
      <c r="M42" s="228" t="str">
        <f t="shared" si="1"/>
        <v>J</v>
      </c>
      <c r="N42" s="274" t="str">
        <f t="shared" si="6"/>
        <v>Bagus, sudah baik, dapat lebih ditingkatkan.</v>
      </c>
      <c r="O42" s="113"/>
      <c r="P42" s="109">
        <f>(K42/I42)*100</f>
        <v>89.473684210526315</v>
      </c>
      <c r="Q42" s="105" t="str">
        <f>IF(P42&lt;=50,("Buruk"),IF(P42&lt;=60,("Kurang"),IF(P42&lt;=75,("Cukup"),IF(P42&lt;=90,("Baik"),("Sangat Baik")))))</f>
        <v>Baik</v>
      </c>
      <c r="R42" s="646" t="str">
        <f>IF(Q44="Sangat Baik","C",IF(Q44="Baik","J",IF(Q44="Cukup","K",IF(Q44="Kurang","L",""))))</f>
        <v>C</v>
      </c>
      <c r="S42" s="688"/>
      <c r="T42" s="687" t="str">
        <f>IF(P44&lt;=86,"DI BAWAH EKSPETASI",IF(P44&lt;=96,"SESUAI EKSPETASI",IF(P44&lt;=100,"DI ATAS EKSPETASI","")))</f>
        <v>SESUAI EKSPETASI</v>
      </c>
      <c r="U42" s="688"/>
      <c r="V42" s="688"/>
      <c r="W42" s="688"/>
    </row>
    <row r="43" spans="1:25" s="106" customFormat="1" ht="56.25" customHeight="1" x14ac:dyDescent="0.25">
      <c r="A43" s="113"/>
      <c r="B43" s="635"/>
      <c r="C43" s="582"/>
      <c r="D43" s="641"/>
      <c r="E43" s="642"/>
      <c r="F43" s="267" t="str">
        <f>'SKP JF (KUANTITATIF)'!G38&amp;""</f>
        <v>Waktu</v>
      </c>
      <c r="G43" s="643" t="str">
        <f>'SKP JF (KUANTITATIF)'!H38&amp;""</f>
        <v>Ketepatan waktu pelaksanaan kegiatan.</v>
      </c>
      <c r="H43" s="644"/>
      <c r="I43" s="272">
        <f>'SKP JF (KUANTITATIF)'!J38</f>
        <v>6</v>
      </c>
      <c r="J43" s="269" t="str">
        <f>'SKP JF (KUANTITATIF)'!K38&amp;""</f>
        <v>Bulan</v>
      </c>
      <c r="K43" s="273">
        <v>6</v>
      </c>
      <c r="L43" s="271" t="str">
        <f>IF(K43&gt;=1,"bulan berdasarkan waktu kegiatan","")</f>
        <v>bulan berdasarkan waktu kegiatan</v>
      </c>
      <c r="M43" s="228" t="str">
        <f t="shared" si="1"/>
        <v>C</v>
      </c>
      <c r="N43" s="274" t="str">
        <f t="shared" si="6"/>
        <v>Bagus, sudah amat baik, pertahankan.</v>
      </c>
      <c r="O43" s="113"/>
      <c r="P43" s="109">
        <f>(K43/I43)*100</f>
        <v>100</v>
      </c>
      <c r="Q43" s="105" t="str">
        <f>IF(P43&lt;=50,("Buruk"),IF(P43&lt;=60,("Kurang"),IF(P43&lt;=75,("Cukup"),IF(P43&lt;=90,("Baik"),("Sangat Baik")))))</f>
        <v>Sangat Baik</v>
      </c>
      <c r="R43" s="69"/>
      <c r="S43" s="69"/>
      <c r="T43" s="69"/>
      <c r="U43" s="69"/>
    </row>
    <row r="44" spans="1:25" s="107" customFormat="1" ht="15" customHeight="1" x14ac:dyDescent="0.25">
      <c r="A44" s="114"/>
      <c r="B44" s="341" t="s">
        <v>89</v>
      </c>
      <c r="C44" s="342"/>
      <c r="D44" s="342"/>
      <c r="E44" s="342"/>
      <c r="F44" s="342"/>
      <c r="G44" s="342"/>
      <c r="H44" s="342"/>
      <c r="I44" s="342"/>
      <c r="J44" s="342"/>
      <c r="K44" s="342"/>
      <c r="L44" s="342"/>
      <c r="M44" s="342"/>
      <c r="N44" s="343"/>
      <c r="O44" s="114"/>
      <c r="P44" s="229">
        <f>(AVERAGE(P23,P26,P29,P32,P35,P39,P42))</f>
        <v>93.233082706766922</v>
      </c>
      <c r="Q44" s="118" t="str">
        <f>IF(P44&lt;=50,("Buruk"),IF(P44&lt;=60,("Kurang"),IF(P44&lt;=75,("Cukup"),IF(P44&lt;=90,("Baik"),("Sangat Baik")))))</f>
        <v>Sangat Baik</v>
      </c>
      <c r="R44" s="118"/>
      <c r="S44" s="118"/>
      <c r="T44" s="118"/>
      <c r="U44" s="118"/>
    </row>
    <row r="45" spans="1:25" s="107" customFormat="1" ht="25.5" customHeight="1" x14ac:dyDescent="0.25">
      <c r="A45" s="114"/>
      <c r="B45" s="714" t="s">
        <v>264</v>
      </c>
      <c r="C45" s="715"/>
      <c r="D45" s="317"/>
      <c r="E45" s="317"/>
      <c r="F45" s="317"/>
      <c r="G45" s="317"/>
      <c r="H45" s="317"/>
      <c r="I45" s="317"/>
      <c r="J45" s="317"/>
      <c r="K45" s="317"/>
      <c r="L45" s="317"/>
      <c r="M45" s="122"/>
      <c r="N45" s="123"/>
      <c r="O45" s="114"/>
      <c r="R45" s="118"/>
      <c r="S45" s="118"/>
      <c r="T45" s="118"/>
      <c r="U45" s="118"/>
    </row>
    <row r="46" spans="1:25" ht="33.75" customHeight="1" x14ac:dyDescent="0.25">
      <c r="A46" s="110"/>
      <c r="B46" s="381" t="s">
        <v>25</v>
      </c>
      <c r="C46" s="382"/>
      <c r="D46" s="382"/>
      <c r="E46" s="382"/>
      <c r="F46" s="382"/>
      <c r="G46" s="382"/>
      <c r="H46" s="382"/>
      <c r="I46" s="382"/>
      <c r="J46" s="382"/>
      <c r="K46" s="382"/>
      <c r="L46" s="382"/>
      <c r="M46" s="651" t="s">
        <v>71</v>
      </c>
      <c r="N46" s="652"/>
      <c r="O46" s="110"/>
      <c r="R46" s="408" t="s">
        <v>243</v>
      </c>
      <c r="S46" s="409" t="s">
        <v>244</v>
      </c>
      <c r="T46" s="410" t="s">
        <v>286</v>
      </c>
      <c r="U46" s="349"/>
      <c r="V46" s="351" t="s">
        <v>302</v>
      </c>
      <c r="W46" s="350"/>
    </row>
    <row r="47" spans="1:25" s="108" customFormat="1" x14ac:dyDescent="0.25">
      <c r="A47" s="115"/>
      <c r="B47" s="275" t="str">
        <f>'SKP JF (KUANTITATIF)'!B40&amp;""</f>
        <v>1</v>
      </c>
      <c r="C47" s="446" t="str">
        <f>IF(R47&lt;&gt;"",VLOOKUP(R47,BERAHLAK!$B$5:$C$53,2,FALSE),"")</f>
        <v>Berorientasi Pelayanan</v>
      </c>
      <c r="D47" s="447"/>
      <c r="E47" s="447"/>
      <c r="F47" s="447"/>
      <c r="G47" s="447"/>
      <c r="H47" s="447"/>
      <c r="I47" s="447"/>
      <c r="J47" s="447"/>
      <c r="K47" s="447"/>
      <c r="L47" s="447"/>
      <c r="M47" s="448"/>
      <c r="N47" s="449"/>
      <c r="O47" s="115"/>
      <c r="R47" s="411" t="s">
        <v>76</v>
      </c>
      <c r="S47" s="689"/>
      <c r="T47" s="412"/>
      <c r="U47" s="86"/>
    </row>
    <row r="48" spans="1:25" s="108" customFormat="1" ht="21" customHeight="1" x14ac:dyDescent="0.25">
      <c r="A48" s="115"/>
      <c r="B48" s="276"/>
      <c r="C48" s="277" t="str">
        <f>IF(R48&lt;&gt;"",VLOOKUP(R48,BERAHLAK!$B$5:$C$53,2,FALSE),"")</f>
        <v>- Memahami dan memenuhi kebutuhan masyarakat</v>
      </c>
      <c r="D48" s="249"/>
      <c r="E48" s="249"/>
      <c r="F48" s="249"/>
      <c r="G48" s="249"/>
      <c r="H48" s="249"/>
      <c r="I48" s="278" t="s">
        <v>27</v>
      </c>
      <c r="J48" s="279"/>
      <c r="K48" s="252"/>
      <c r="L48" s="253"/>
      <c r="M48" s="700" t="str">
        <f>IF(T48&lt;&gt;"",VLOOKUP(T48,'UMPAN-BALIK'!$B$5:$C$53,2,FALSE),"")</f>
        <v>Stakeholder terkait: Ramah dalam memberikan pelayanan kepada stakeholder (komite sekolah, dinas terkait), semua warga sekolah (guru dan tenaga kependidikan lainnya).</v>
      </c>
      <c r="N48" s="701"/>
      <c r="O48" s="115"/>
      <c r="R48" s="413" t="s">
        <v>156</v>
      </c>
      <c r="S48" s="690"/>
      <c r="T48" s="414" t="s">
        <v>156</v>
      </c>
      <c r="U48" s="86"/>
      <c r="X48" s="465">
        <f>IF(R48="1.1",1,0)</f>
        <v>1</v>
      </c>
      <c r="Y48" s="466"/>
    </row>
    <row r="49" spans="1:25" s="108" customFormat="1" ht="63" customHeight="1" x14ac:dyDescent="0.25">
      <c r="A49" s="115"/>
      <c r="B49" s="276"/>
      <c r="C49" s="282" t="str">
        <f>IF(R49&lt;&gt;"",VLOOKUP(R49,BERAHLAK!$B$5:$C$53,2,FALSE),"")</f>
        <v>- Ramah, cekatan, solutif, dan dapat diandalkan</v>
      </c>
      <c r="D49" s="254"/>
      <c r="E49" s="254"/>
      <c r="F49" s="254"/>
      <c r="G49" s="254"/>
      <c r="H49" s="254"/>
      <c r="I49" s="608" t="str">
        <f>IF(S49&lt;&gt;"",VLOOKUP(S49,BERAHLAK!$E$5:$F$53,2,FALSE),"")</f>
        <v>- Maksimal dalam pelayanan, terbuka terhadap masukan atau kritikan.</v>
      </c>
      <c r="J49" s="536"/>
      <c r="K49" s="536"/>
      <c r="L49" s="537"/>
      <c r="M49" s="702"/>
      <c r="N49" s="703"/>
      <c r="O49" s="115"/>
      <c r="R49" s="413" t="s">
        <v>157</v>
      </c>
      <c r="S49" s="415" t="s">
        <v>156</v>
      </c>
      <c r="T49" s="412"/>
      <c r="U49" s="86"/>
      <c r="X49" s="465">
        <f>IF(R49="1.2",1,0)</f>
        <v>1</v>
      </c>
      <c r="Y49" s="465">
        <f>IF(S49="1.1",1,0)</f>
        <v>1</v>
      </c>
    </row>
    <row r="50" spans="1:25" s="108" customFormat="1" ht="52.5" customHeight="1" x14ac:dyDescent="0.25">
      <c r="A50" s="115"/>
      <c r="B50" s="280"/>
      <c r="C50" s="281" t="str">
        <f>IF(R50&lt;&gt;"",VLOOKUP(R50,BERAHLAK!$B$5:$C$53,2,FALSE),"")</f>
        <v>- Melakukan perbaikan tiada henti</v>
      </c>
      <c r="D50" s="258"/>
      <c r="E50" s="258"/>
      <c r="F50" s="258"/>
      <c r="G50" s="258"/>
      <c r="H50" s="258"/>
      <c r="I50" s="599" t="str">
        <f>IF(S50&lt;&gt;"",VLOOKUP(S50,BERAHLAK!$E$5:$F$53,2,FALSE),"")</f>
        <v>- Selalu belajar dari kesalahan untuk perbaikan kinerja selanjutnya.</v>
      </c>
      <c r="J50" s="539"/>
      <c r="K50" s="539"/>
      <c r="L50" s="540"/>
      <c r="M50" s="704" t="str">
        <f>IF(T50&lt;&gt;"",VLOOKUP(T50,'UMPAN-BALIK'!$B$5:$C$53,2,FALSE),"")</f>
        <v>Pimpinan : Yang bersangkutan dapat diandalkan ketika ada hal-hal yang membutuhkan penyelesaian segera.</v>
      </c>
      <c r="N50" s="705"/>
      <c r="O50" s="115"/>
      <c r="R50" s="413" t="s">
        <v>158</v>
      </c>
      <c r="S50" s="415" t="s">
        <v>157</v>
      </c>
      <c r="T50" s="414" t="s">
        <v>157</v>
      </c>
      <c r="U50" s="86"/>
      <c r="X50" s="465">
        <f>IF(R50="1.3",1,0)</f>
        <v>1</v>
      </c>
      <c r="Y50" s="465">
        <f>IF(S50="1.2",1,0)</f>
        <v>1</v>
      </c>
    </row>
    <row r="51" spans="1:25" s="108" customFormat="1" x14ac:dyDescent="0.25">
      <c r="A51" s="115"/>
      <c r="B51" s="275" t="str">
        <f>'SKP JF (KUANTITATIF)'!B44&amp;""</f>
        <v>2</v>
      </c>
      <c r="C51" s="446" t="str">
        <f>IF(R51&lt;&gt;"",VLOOKUP(R51,BERAHLAK!$B$5:$C$53,2,FALSE),"")</f>
        <v>Akuntabel</v>
      </c>
      <c r="D51" s="447"/>
      <c r="E51" s="447"/>
      <c r="F51" s="447"/>
      <c r="G51" s="447"/>
      <c r="H51" s="447"/>
      <c r="I51" s="447"/>
      <c r="J51" s="447"/>
      <c r="K51" s="447"/>
      <c r="L51" s="447"/>
      <c r="M51" s="450"/>
      <c r="N51" s="451"/>
      <c r="O51" s="115"/>
      <c r="R51" s="413" t="s">
        <v>78</v>
      </c>
      <c r="S51" s="691"/>
      <c r="T51" s="412"/>
      <c r="U51" s="86"/>
      <c r="X51" s="465"/>
      <c r="Y51" s="465"/>
    </row>
    <row r="52" spans="1:25" s="108" customFormat="1" ht="30" customHeight="1" x14ac:dyDescent="0.25">
      <c r="A52" s="115"/>
      <c r="B52" s="276"/>
      <c r="C52" s="656" t="str">
        <f>IF(R52&lt;&gt;"",VLOOKUP(R52,BERAHLAK!$B$5:$C$53,2,FALSE),"")</f>
        <v>- Melaksanakan tugas dengan jujur, bertanggungjawab, cermat, disiplin dan berintegritas tinggi</v>
      </c>
      <c r="D52" s="657"/>
      <c r="E52" s="657"/>
      <c r="F52" s="657"/>
      <c r="G52" s="657"/>
      <c r="H52" s="658"/>
      <c r="I52" s="278" t="s">
        <v>27</v>
      </c>
      <c r="J52" s="279"/>
      <c r="K52" s="252"/>
      <c r="L52" s="253"/>
      <c r="M52" s="700" t="str">
        <f>IF(T52&lt;&gt;"",VLOOKUP(T52,'UMPAN-BALIK'!$B$5:$C$53,2,FALSE),"")</f>
        <v>Teman sejawat: Selalu menunjukkan sikap bertanggung jawab meskipun ada kesalahan yang dilakukan anggota timnya.</v>
      </c>
      <c r="N52" s="602"/>
      <c r="O52" s="115"/>
      <c r="R52" s="413" t="s">
        <v>159</v>
      </c>
      <c r="S52" s="692"/>
      <c r="T52" s="416" t="s">
        <v>159</v>
      </c>
      <c r="U52" s="86"/>
      <c r="X52" s="465">
        <f>IF(R52="2.1",1,0)</f>
        <v>1</v>
      </c>
      <c r="Y52" s="465"/>
    </row>
    <row r="53" spans="1:25" s="108" customFormat="1" ht="48" customHeight="1" x14ac:dyDescent="0.25">
      <c r="A53" s="115"/>
      <c r="B53" s="276"/>
      <c r="C53" s="659" t="str">
        <f>IF(R53&lt;&gt;"",VLOOKUP(R53,BERAHLAK!$B$5:$C$53,2,FALSE),"")</f>
        <v>- Menggunakan kekayaan dan barang milik negara secara bertanggungjawab, efektif, dan efisien</v>
      </c>
      <c r="D53" s="610"/>
      <c r="E53" s="610"/>
      <c r="F53" s="610"/>
      <c r="G53" s="610"/>
      <c r="H53" s="611"/>
      <c r="I53" s="608" t="str">
        <f>IF(S53&lt;&gt;"",VLOOKUP(S53,BERAHLAK!$E$5:$F$53,2,FALSE),"")</f>
        <v>- Berani berterus terang jika merasa ada kesalahan dan mengakui kesalahan yang telah dibuat.</v>
      </c>
      <c r="J53" s="536"/>
      <c r="K53" s="536"/>
      <c r="L53" s="537"/>
      <c r="M53" s="706"/>
      <c r="N53" s="537"/>
      <c r="O53" s="115"/>
      <c r="R53" s="413" t="s">
        <v>160</v>
      </c>
      <c r="S53" s="415" t="s">
        <v>159</v>
      </c>
      <c r="T53" s="412"/>
      <c r="U53" s="86"/>
      <c r="X53" s="465">
        <f>IF(R53="2.2",1,0)</f>
        <v>1</v>
      </c>
      <c r="Y53" s="465">
        <f>IF(S53="2.1",1,0)</f>
        <v>1</v>
      </c>
    </row>
    <row r="54" spans="1:25" s="108" customFormat="1" ht="51.75" customHeight="1" x14ac:dyDescent="0.25">
      <c r="A54" s="115"/>
      <c r="B54" s="280"/>
      <c r="C54" s="281" t="str">
        <f>IF(R54&lt;&gt;"",VLOOKUP(R54,BERAHLAK!$B$5:$C$53,2,FALSE),"")</f>
        <v>- Tidak menyalahgunakan kewenangan jabatan</v>
      </c>
      <c r="D54" s="258"/>
      <c r="E54" s="258"/>
      <c r="F54" s="258"/>
      <c r="G54" s="258"/>
      <c r="H54" s="258"/>
      <c r="I54" s="257" t="str">
        <f>IF(S54&lt;&gt;"",VLOOKUP(S54,BERAHLAK!$E$5:$F$53,2,FALSE),"")</f>
        <v/>
      </c>
      <c r="J54" s="261"/>
      <c r="K54" s="261"/>
      <c r="L54" s="262"/>
      <c r="M54" s="704" t="str">
        <f>IF(T54&lt;&gt;"",VLOOKUP(T54,'UMPAN-BALIK'!$B$5:$C$53,2,FALSE),"")</f>
        <v>Pimpinan : Yang bersangkutan selalu merespon dengan cepat dan mengambil alternatif strategi.</v>
      </c>
      <c r="N54" s="540"/>
      <c r="O54" s="115"/>
      <c r="R54" s="413" t="s">
        <v>161</v>
      </c>
      <c r="S54" s="693"/>
      <c r="T54" s="414" t="s">
        <v>160</v>
      </c>
      <c r="U54" s="86"/>
      <c r="X54" s="465">
        <f>IF(R54="2.3",1,0)</f>
        <v>1</v>
      </c>
      <c r="Y54" s="465"/>
    </row>
    <row r="55" spans="1:25" s="108" customFormat="1" x14ac:dyDescent="0.25">
      <c r="A55" s="115"/>
      <c r="B55" s="275" t="str">
        <f>'SKP JF (KUANTITATIF)'!B48&amp;""</f>
        <v>3</v>
      </c>
      <c r="C55" s="452" t="str">
        <f>IF(R55&lt;&gt;"",VLOOKUP(R55,BERAHLAK!$B$5:$C$53,2,FALSE),"")</f>
        <v>Kompeten</v>
      </c>
      <c r="D55" s="450"/>
      <c r="E55" s="450"/>
      <c r="F55" s="450"/>
      <c r="G55" s="450"/>
      <c r="H55" s="450"/>
      <c r="I55" s="447"/>
      <c r="J55" s="447"/>
      <c r="K55" s="447"/>
      <c r="L55" s="447"/>
      <c r="M55" s="447"/>
      <c r="N55" s="453"/>
      <c r="O55" s="115"/>
      <c r="R55" s="413" t="s">
        <v>79</v>
      </c>
      <c r="S55" s="694"/>
      <c r="T55" s="412"/>
      <c r="U55" s="86"/>
      <c r="X55" s="465"/>
      <c r="Y55" s="465"/>
    </row>
    <row r="56" spans="1:25" s="108" customFormat="1" x14ac:dyDescent="0.25">
      <c r="A56" s="115"/>
      <c r="B56" s="276"/>
      <c r="C56" s="277" t="str">
        <f>IF(R56&lt;&gt;"",VLOOKUP(R56,BERAHLAK!$B$5:$C$53,2,FALSE),"")</f>
        <v>- Meningkatkan kompetensi diri untuk menjawab tantangan yang selalu berubah</v>
      </c>
      <c r="D56" s="249"/>
      <c r="E56" s="249"/>
      <c r="F56" s="249"/>
      <c r="G56" s="249"/>
      <c r="H56" s="250"/>
      <c r="I56" s="278" t="s">
        <v>27</v>
      </c>
      <c r="J56" s="279"/>
      <c r="K56" s="252"/>
      <c r="L56" s="253"/>
      <c r="M56" s="700" t="str">
        <f>IF(T56&lt;&gt;"",VLOOKUP(T56,'UMPAN-BALIK'!$B$5:$C$53,2,FALSE),"")</f>
        <v>Pimpinan: Memperhatikan pengembangan kompetensi dan selalu memberikan feedback kepada teman dan pimpinan.</v>
      </c>
      <c r="N56" s="602"/>
      <c r="O56" s="115"/>
      <c r="R56" s="413" t="s">
        <v>162</v>
      </c>
      <c r="S56" s="695"/>
      <c r="T56" s="414" t="s">
        <v>162</v>
      </c>
      <c r="U56" s="86"/>
      <c r="X56" s="465">
        <f>IF(R56="3.1",1,0)</f>
        <v>1</v>
      </c>
      <c r="Y56" s="465"/>
    </row>
    <row r="57" spans="1:25" s="108" customFormat="1" ht="45.75" customHeight="1" x14ac:dyDescent="0.25">
      <c r="A57" s="115"/>
      <c r="B57" s="276"/>
      <c r="C57" s="282" t="str">
        <f>IF(R57&lt;&gt;"",VLOOKUP(R57,BERAHLAK!$B$5:$C$53,2,FALSE),"")</f>
        <v>- Membantu orang lain belajar</v>
      </c>
      <c r="D57" s="254"/>
      <c r="E57" s="254"/>
      <c r="F57" s="254"/>
      <c r="G57" s="254"/>
      <c r="H57" s="254"/>
      <c r="I57" s="608" t="str">
        <f>IF(S57&lt;&gt;"",VLOOKUP(S57,BERAHLAK!$E$5:$F$53,2,FALSE),"")</f>
        <v>- Menyelesaikan setiap pekerjaan sesuai dengan target dan standar mutu yang ditetapkan.</v>
      </c>
      <c r="J57" s="536"/>
      <c r="K57" s="536"/>
      <c r="L57" s="537"/>
      <c r="M57" s="706"/>
      <c r="N57" s="537"/>
      <c r="O57" s="115"/>
      <c r="R57" s="413" t="s">
        <v>163</v>
      </c>
      <c r="S57" s="415" t="s">
        <v>162</v>
      </c>
      <c r="T57" s="412"/>
      <c r="U57" s="86"/>
      <c r="X57" s="465">
        <f>IF(R57="3.2",1,0)</f>
        <v>1</v>
      </c>
      <c r="Y57" s="465">
        <f>IF(S57="3.1",1,0)</f>
        <v>1</v>
      </c>
    </row>
    <row r="58" spans="1:25" s="108" customFormat="1" ht="47.25" customHeight="1" x14ac:dyDescent="0.25">
      <c r="A58" s="115"/>
      <c r="B58" s="280"/>
      <c r="C58" s="283" t="str">
        <f>IF(R58&lt;&gt;"",VLOOKUP(R58,BERAHLAK!$B$5:$C$53,2,FALSE),"")</f>
        <v>- Melaksanakan tugas dengan kualitas terbaik</v>
      </c>
      <c r="D58" s="258"/>
      <c r="E58" s="258"/>
      <c r="F58" s="258"/>
      <c r="G58" s="258"/>
      <c r="H58" s="258"/>
      <c r="I58" s="599" t="str">
        <f>IF(S58&lt;&gt;"",VLOOKUP(S58,BERAHLAK!$E$5:$F$53,2,FALSE),"")</f>
        <v>- Aktif dalam membagikan informasi kepada teman sejawat atau pihak lainnya yang sifatnya memberikan pengetahuan.</v>
      </c>
      <c r="J58" s="539"/>
      <c r="K58" s="539"/>
      <c r="L58" s="540"/>
      <c r="M58" s="704" t="str">
        <f>IF(T58&lt;&gt;"",VLOOKUP(T58,'UMPAN-BALIK'!$B$5:$C$53,2,FALSE),"")</f>
        <v>Pimpinan: Tugas dari pimpinan hampir selalu dikerjakan dengan baik</v>
      </c>
      <c r="N58" s="540"/>
      <c r="O58" s="115"/>
      <c r="R58" s="413" t="s">
        <v>164</v>
      </c>
      <c r="S58" s="415" t="s">
        <v>163</v>
      </c>
      <c r="T58" s="414" t="s">
        <v>163</v>
      </c>
      <c r="U58" s="86"/>
      <c r="X58" s="465">
        <f>IF(R58="3.3",1,0)</f>
        <v>1</v>
      </c>
      <c r="Y58" s="465">
        <f>IF(S58="3.2",1,0)</f>
        <v>1</v>
      </c>
    </row>
    <row r="59" spans="1:25" s="108" customFormat="1" x14ac:dyDescent="0.25">
      <c r="A59" s="115"/>
      <c r="B59" s="275" t="str">
        <f>'SKP JF (KUANTITATIF)'!B52&amp;""</f>
        <v>4</v>
      </c>
      <c r="C59" s="446" t="str">
        <f>IF(R59&lt;&gt;"",VLOOKUP(R59,BERAHLAK!$B$5:$C$53,2,FALSE),"")</f>
        <v xml:space="preserve">Harmonis </v>
      </c>
      <c r="D59" s="447"/>
      <c r="E59" s="447"/>
      <c r="F59" s="447"/>
      <c r="G59" s="447"/>
      <c r="H59" s="447"/>
      <c r="I59" s="447"/>
      <c r="J59" s="447"/>
      <c r="K59" s="447"/>
      <c r="L59" s="447"/>
      <c r="M59" s="447"/>
      <c r="N59" s="453"/>
      <c r="O59" s="115"/>
      <c r="R59" s="413" t="s">
        <v>81</v>
      </c>
      <c r="S59" s="696"/>
      <c r="T59" s="412"/>
      <c r="U59" s="86"/>
      <c r="X59" s="465"/>
      <c r="Y59" s="465"/>
    </row>
    <row r="60" spans="1:25" s="108" customFormat="1" x14ac:dyDescent="0.25">
      <c r="A60" s="115"/>
      <c r="B60" s="276"/>
      <c r="C60" s="277" t="str">
        <f>IF(R60&lt;&gt;"",VLOOKUP(R60,BERAHLAK!$B$5:$C$53,2,FALSE),"")</f>
        <v>- Menghargai setiap orang apapun latar belakangnya</v>
      </c>
      <c r="D60" s="249"/>
      <c r="E60" s="249"/>
      <c r="F60" s="249"/>
      <c r="G60" s="249"/>
      <c r="H60" s="249"/>
      <c r="I60" s="278" t="s">
        <v>27</v>
      </c>
      <c r="J60" s="279"/>
      <c r="K60" s="252"/>
      <c r="L60" s="253"/>
      <c r="M60" s="700" t="str">
        <f>IF(T60&lt;&gt;"",VLOOKUP(T60,'UMPAN-BALIK'!$B$5:$C$53,2,FALSE),"")</f>
        <v>Pimpinan: Mampu menciptakan lingkungan yang kondusif di tim kerjanya terlihat dari tidak adanya anggota tim / teman sejawat yang berkonflik.</v>
      </c>
      <c r="N60" s="602"/>
      <c r="O60" s="115"/>
      <c r="R60" s="413" t="s">
        <v>165</v>
      </c>
      <c r="S60" s="697"/>
      <c r="T60" s="414" t="s">
        <v>165</v>
      </c>
      <c r="U60" s="86"/>
      <c r="X60" s="465">
        <f>IF(R60="4.1",1,0)</f>
        <v>1</v>
      </c>
      <c r="Y60" s="465"/>
    </row>
    <row r="61" spans="1:25" s="108" customFormat="1" ht="48" customHeight="1" x14ac:dyDescent="0.25">
      <c r="A61" s="115"/>
      <c r="B61" s="276"/>
      <c r="C61" s="282" t="str">
        <f>IF(R61&lt;&gt;"",VLOOKUP(R61,BERAHLAK!$B$5:$C$53,2,FALSE),"")</f>
        <v>- Suka menolong orang lain</v>
      </c>
      <c r="D61" s="254"/>
      <c r="E61" s="254"/>
      <c r="F61" s="254"/>
      <c r="G61" s="254"/>
      <c r="H61" s="254"/>
      <c r="I61" s="608" t="str">
        <f>IF(S61&lt;&gt;"",VLOOKUP(S61,BERAHLAK!$E$5:$F$53,2,FALSE),"")</f>
        <v>- Membangun komunikasi yang lebih terbuka dan menjaga hubungan baik dengan stakeholder</v>
      </c>
      <c r="J61" s="536"/>
      <c r="K61" s="536"/>
      <c r="L61" s="537"/>
      <c r="M61" s="706"/>
      <c r="N61" s="537"/>
      <c r="O61" s="115"/>
      <c r="R61" s="413" t="s">
        <v>166</v>
      </c>
      <c r="S61" s="415" t="s">
        <v>165</v>
      </c>
      <c r="T61" s="412"/>
      <c r="U61" s="86"/>
      <c r="X61" s="465">
        <f>IF(R61="4.2",1,0)</f>
        <v>1</v>
      </c>
      <c r="Y61" s="465">
        <f>IF(S61="4.1",1,0)</f>
        <v>1</v>
      </c>
    </row>
    <row r="62" spans="1:25" s="108" customFormat="1" ht="48" customHeight="1" x14ac:dyDescent="0.25">
      <c r="A62" s="115"/>
      <c r="B62" s="280"/>
      <c r="C62" s="281" t="str">
        <f>IF(R62&lt;&gt;"",VLOOKUP(R62,BERAHLAK!$B$5:$C$53,2,FALSE),"")</f>
        <v>- Membangun lingkungan kerja yang kondusif</v>
      </c>
      <c r="D62" s="258"/>
      <c r="E62" s="258"/>
      <c r="F62" s="258"/>
      <c r="G62" s="258"/>
      <c r="H62" s="258"/>
      <c r="I62" s="599" t="str">
        <f>IF(S62&lt;&gt;"",VLOOKUP(S62,BERAHLAK!$E$5:$F$53,2,FALSE),"")</f>
        <v>- Selalu siap memberi bantuan dengan atau tanpa harus diminta kepada teman sejawat atau pihak yang membutuhkan.</v>
      </c>
      <c r="J62" s="539"/>
      <c r="K62" s="539"/>
      <c r="L62" s="540"/>
      <c r="M62" s="710" t="str">
        <f>IF(T62&lt;&gt;"",VLOOKUP(T62,'UMPAN-BALIK'!$B$5:$C$53,2,FALSE),"")</f>
        <v/>
      </c>
      <c r="N62" s="540"/>
      <c r="O62" s="115"/>
      <c r="R62" s="413" t="s">
        <v>167</v>
      </c>
      <c r="S62" s="415" t="s">
        <v>166</v>
      </c>
      <c r="T62" s="414"/>
      <c r="U62" s="86"/>
      <c r="X62" s="465">
        <f>IF(R62="4.3",1,0)</f>
        <v>1</v>
      </c>
      <c r="Y62" s="465">
        <f>IF(S62="4.2",1,0)</f>
        <v>1</v>
      </c>
    </row>
    <row r="63" spans="1:25" s="108" customFormat="1" x14ac:dyDescent="0.25">
      <c r="A63" s="115"/>
      <c r="B63" s="275" t="str">
        <f>'SKP JF (KUANTITATIF)'!B56&amp;""</f>
        <v>5</v>
      </c>
      <c r="C63" s="446" t="str">
        <f>IF(R63&lt;&gt;"",VLOOKUP(R63,BERAHLAK!$B$5:$C$53,2,FALSE),"")</f>
        <v>Loyal</v>
      </c>
      <c r="D63" s="447"/>
      <c r="E63" s="447"/>
      <c r="F63" s="447"/>
      <c r="G63" s="447"/>
      <c r="H63" s="447"/>
      <c r="I63" s="447"/>
      <c r="J63" s="447"/>
      <c r="K63" s="447"/>
      <c r="L63" s="447"/>
      <c r="M63" s="447"/>
      <c r="N63" s="453"/>
      <c r="O63" s="115"/>
      <c r="R63" s="413" t="s">
        <v>85</v>
      </c>
      <c r="S63" s="696"/>
      <c r="T63" s="412"/>
      <c r="U63" s="86"/>
      <c r="X63" s="465"/>
      <c r="Y63" s="465"/>
    </row>
    <row r="64" spans="1:25" s="108" customFormat="1" ht="31.5" customHeight="1" x14ac:dyDescent="0.25">
      <c r="A64" s="115"/>
      <c r="B64" s="276"/>
      <c r="C64" s="656" t="str">
        <f>IF(R64&lt;&gt;"",VLOOKUP(R64,BERAHLAK!$B$5:$C$53,2,FALSE),"")</f>
        <v>- Memegang teguh ideologi Pancasila, UUD Negara Republik Indonesia Tahun 1945, setia kepada NKRI serta pemerintahan yang sah.</v>
      </c>
      <c r="D64" s="657"/>
      <c r="E64" s="657"/>
      <c r="F64" s="657"/>
      <c r="G64" s="657"/>
      <c r="H64" s="657"/>
      <c r="I64" s="278" t="s">
        <v>27</v>
      </c>
      <c r="J64" s="279"/>
      <c r="K64" s="252"/>
      <c r="L64" s="253"/>
      <c r="M64" s="700" t="str">
        <f>IF(T64&lt;&gt;"",VLOOKUP(T64,'UMPAN-BALIK'!$B$5:$C$53,2,FALSE),"")</f>
        <v xml:space="preserve">Pimpinan: Arahan pimpinan selalu ditindaklanjuti dengan baik dan progresnya selalu dilaporkan dengan tepat waktu.
</v>
      </c>
      <c r="N64" s="602"/>
      <c r="O64" s="115"/>
      <c r="R64" s="413" t="s">
        <v>168</v>
      </c>
      <c r="S64" s="697"/>
      <c r="T64" s="414" t="s">
        <v>168</v>
      </c>
      <c r="U64" s="86"/>
      <c r="X64" s="465">
        <f>IF(R64="5.1",1,0)</f>
        <v>1</v>
      </c>
      <c r="Y64" s="465"/>
    </row>
    <row r="65" spans="1:25" s="108" customFormat="1" ht="47.25" customHeight="1" x14ac:dyDescent="0.25">
      <c r="A65" s="115"/>
      <c r="B65" s="276"/>
      <c r="C65" s="282" t="str">
        <f>IF(R65&lt;&gt;"",VLOOKUP(R65,BERAHLAK!$B$5:$C$53,2,FALSE),"")</f>
        <v>- Menjaga nama baik sesama ASN, Pimpinan, Instansi, dan Negara</v>
      </c>
      <c r="D65" s="254"/>
      <c r="E65" s="254"/>
      <c r="F65" s="254"/>
      <c r="G65" s="254"/>
      <c r="H65" s="254"/>
      <c r="I65" s="608" t="str">
        <f>IF(S65&lt;&gt;"",VLOOKUP(S65,BERAHLAK!$E$5:$F$53,2,FALSE),"")</f>
        <v>- Taat terhadap atasan sesuai dengan Struktur Jabatan pada Instansi pegawai berada</v>
      </c>
      <c r="J65" s="536"/>
      <c r="K65" s="536"/>
      <c r="L65" s="537"/>
      <c r="M65" s="706"/>
      <c r="N65" s="537"/>
      <c r="O65" s="115"/>
      <c r="R65" s="413" t="s">
        <v>169</v>
      </c>
      <c r="S65" s="415" t="s">
        <v>168</v>
      </c>
      <c r="T65" s="412"/>
      <c r="U65" s="86"/>
      <c r="X65" s="465">
        <f>IF(R65="5.2",1,0)</f>
        <v>1</v>
      </c>
      <c r="Y65" s="465">
        <f>IF(S65="5.1",1,0)</f>
        <v>1</v>
      </c>
    </row>
    <row r="66" spans="1:25" s="108" customFormat="1" ht="66.75" customHeight="1" x14ac:dyDescent="0.25">
      <c r="A66" s="115"/>
      <c r="B66" s="280"/>
      <c r="C66" s="281" t="str">
        <f>IF(R66&lt;&gt;"",VLOOKUP(R66,BERAHLAK!$B$5:$C$53,2,FALSE),"")</f>
        <v>- Menjaga rahasia jabatan dan negara</v>
      </c>
      <c r="D66" s="258"/>
      <c r="E66" s="258"/>
      <c r="F66" s="258"/>
      <c r="G66" s="258"/>
      <c r="H66" s="258"/>
      <c r="I66" s="257" t="str">
        <f>IF(S66&lt;&gt;"",VLOOKUP(S66,BERAHLAK!$E$5:$F$53,2,FALSE),"")</f>
        <v/>
      </c>
      <c r="J66" s="261"/>
      <c r="K66" s="261"/>
      <c r="L66" s="262"/>
      <c r="M66" s="704" t="str">
        <f>IF(T66&lt;&gt;"",VLOOKUP(T66,'UMPAN-BALIK'!$B$5:$C$53,2,FALSE),"")</f>
        <v>Pimpinan: Selalu siap kapanpun pimpinan membutuhkan, yang bersangkutan siap membantu pimpinan meskipun di luar jam kerja.</v>
      </c>
      <c r="N66" s="540"/>
      <c r="O66" s="115"/>
      <c r="R66" s="413" t="s">
        <v>170</v>
      </c>
      <c r="S66" s="693"/>
      <c r="T66" s="414" t="s">
        <v>169</v>
      </c>
      <c r="U66" s="86"/>
      <c r="X66" s="465">
        <f>IF(R66="5.3",1,0)</f>
        <v>1</v>
      </c>
      <c r="Y66" s="465"/>
    </row>
    <row r="67" spans="1:25" s="108" customFormat="1" x14ac:dyDescent="0.25">
      <c r="A67" s="115"/>
      <c r="B67" s="275" t="str">
        <f>'SKP JF (KUANTITATIF)'!B60&amp;""</f>
        <v>6</v>
      </c>
      <c r="C67" s="446" t="str">
        <f>IF(R67&lt;&gt;"",VLOOKUP(R67,BERAHLAK!$B$5:$C$53,2,FALSE),"")</f>
        <v>Adaptif</v>
      </c>
      <c r="D67" s="447"/>
      <c r="E67" s="447"/>
      <c r="F67" s="447"/>
      <c r="G67" s="447"/>
      <c r="H67" s="447"/>
      <c r="I67" s="447"/>
      <c r="J67" s="447"/>
      <c r="K67" s="447"/>
      <c r="L67" s="447"/>
      <c r="M67" s="447"/>
      <c r="N67" s="453"/>
      <c r="O67" s="115"/>
      <c r="R67" s="413" t="s">
        <v>154</v>
      </c>
      <c r="S67" s="694"/>
      <c r="T67" s="412"/>
      <c r="U67" s="86"/>
      <c r="X67" s="465"/>
      <c r="Y67" s="465"/>
    </row>
    <row r="68" spans="1:25" s="108" customFormat="1" x14ac:dyDescent="0.25">
      <c r="A68" s="115"/>
      <c r="B68" s="276"/>
      <c r="C68" s="277" t="str">
        <f>IF(R68&lt;&gt;"",VLOOKUP(R68,BERAHLAK!$B$5:$C$53,2,FALSE),"")</f>
        <v>- Cepat menyesuaikan diri menghadapi perubahan</v>
      </c>
      <c r="D68" s="249"/>
      <c r="E68" s="249"/>
      <c r="F68" s="249"/>
      <c r="G68" s="249"/>
      <c r="H68" s="249"/>
      <c r="I68" s="278" t="s">
        <v>27</v>
      </c>
      <c r="J68" s="279"/>
      <c r="K68" s="252"/>
      <c r="L68" s="253"/>
      <c r="M68" s="700" t="str">
        <f>IF(T68&lt;&gt;"",VLOOKUP(T68,'UMPAN-BALIK'!$B$5:$C$53,2,FALSE),"")</f>
        <v>Pimpinan: antusias mempelajari hal baru terlihat dari upaya upaya yang bersangkutan ketika mendapat penugasan baru.</v>
      </c>
      <c r="N68" s="602"/>
      <c r="O68" s="115"/>
      <c r="R68" s="413" t="s">
        <v>171</v>
      </c>
      <c r="S68" s="695"/>
      <c r="T68" s="414" t="s">
        <v>171</v>
      </c>
      <c r="U68" s="86"/>
      <c r="X68" s="465">
        <f>IF(R68="6.1",1,0)</f>
        <v>1</v>
      </c>
      <c r="Y68" s="465"/>
    </row>
    <row r="69" spans="1:25" s="108" customFormat="1" ht="48.75" customHeight="1" x14ac:dyDescent="0.25">
      <c r="A69" s="115"/>
      <c r="B69" s="276"/>
      <c r="C69" s="282" t="str">
        <f>IF(R69&lt;&gt;"",VLOOKUP(R69,BERAHLAK!$B$5:$C$53,2,FALSE),"")</f>
        <v>- Terus berinovasi dan mengembangkan kreativitas</v>
      </c>
      <c r="D69" s="254"/>
      <c r="E69" s="254"/>
      <c r="F69" s="254"/>
      <c r="G69" s="254"/>
      <c r="H69" s="254"/>
      <c r="I69" s="608" t="str">
        <f>IF(S69&lt;&gt;"",VLOOKUP(S69,BERAHLAK!$E$5:$F$53,2,FALSE),"")</f>
        <v>- Tidak mengimplementasikan perkembangan teknologi untuk memperbaiki metode dan proses kerja.</v>
      </c>
      <c r="J69" s="536"/>
      <c r="K69" s="536"/>
      <c r="L69" s="537"/>
      <c r="M69" s="706"/>
      <c r="N69" s="537"/>
      <c r="O69" s="115"/>
      <c r="R69" s="413" t="s">
        <v>172</v>
      </c>
      <c r="S69" s="415" t="s">
        <v>212</v>
      </c>
      <c r="T69" s="412"/>
      <c r="U69" s="86"/>
      <c r="X69" s="465">
        <f>IF(R69="6.2",1,0)</f>
        <v>1</v>
      </c>
      <c r="Y69" s="465">
        <f>IF(S69="6.1",1,0)</f>
        <v>0</v>
      </c>
    </row>
    <row r="70" spans="1:25" s="108" customFormat="1" ht="65.25" customHeight="1" x14ac:dyDescent="0.25">
      <c r="A70" s="115"/>
      <c r="B70" s="280"/>
      <c r="C70" s="281" t="str">
        <f>IF(R70&lt;&gt;"",VLOOKUP(R70,BERAHLAK!$B$5:$C$53,2,FALSE),"")</f>
        <v>- Bertindak proaktif</v>
      </c>
      <c r="D70" s="258"/>
      <c r="E70" s="258"/>
      <c r="F70" s="258"/>
      <c r="G70" s="258"/>
      <c r="H70" s="258"/>
      <c r="I70" s="608" t="str">
        <f>IF(S70&lt;&gt;"",VLOOKUP(S70,BERAHLAK!$E$5:$F$53,2,FALSE),"")</f>
        <v/>
      </c>
      <c r="J70" s="536"/>
      <c r="K70" s="536"/>
      <c r="L70" s="537"/>
      <c r="M70" s="704" t="str">
        <f>IF(T70&lt;&gt;"",VLOOKUP(T70,'UMPAN-BALIK'!$B$5:$C$53,2,FALSE),"")</f>
        <v>Pimpinan: Ketika ada perubahan arah strategi dari pimpinan langsung ditindaklanjuti dengan penyesuaian dan resisten.</v>
      </c>
      <c r="N70" s="540"/>
      <c r="O70" s="115"/>
      <c r="R70" s="413" t="s">
        <v>173</v>
      </c>
      <c r="S70" s="417"/>
      <c r="T70" s="414" t="s">
        <v>172</v>
      </c>
      <c r="U70" s="86"/>
      <c r="X70" s="465">
        <f>IF(R70="6.3",1,0)</f>
        <v>1</v>
      </c>
      <c r="Y70" s="465"/>
    </row>
    <row r="71" spans="1:25" s="108" customFormat="1" ht="19.5" customHeight="1" x14ac:dyDescent="0.25">
      <c r="A71" s="115"/>
      <c r="B71" s="275" t="str">
        <f>'SKP JF (KUANTITATIF)'!B64&amp;""</f>
        <v>7</v>
      </c>
      <c r="C71" s="446" t="str">
        <f>IF(R71&lt;&gt;"",VLOOKUP(R71,BERAHLAK!$B$5:$C$53,2,FALSE),"")</f>
        <v>Kolaboratif</v>
      </c>
      <c r="D71" s="447"/>
      <c r="E71" s="447"/>
      <c r="F71" s="447"/>
      <c r="G71" s="447"/>
      <c r="H71" s="447"/>
      <c r="I71" s="447"/>
      <c r="J71" s="447"/>
      <c r="K71" s="447"/>
      <c r="L71" s="447"/>
      <c r="M71" s="447"/>
      <c r="N71" s="453"/>
      <c r="O71" s="115"/>
      <c r="R71" s="413" t="s">
        <v>155</v>
      </c>
      <c r="S71" s="698" t="str">
        <f>IF(S78="Sangat Baik","C",IF(S78="Baik","J",IF(S78="Cukup","K",IF(S78="Kurang","L",""))))</f>
        <v/>
      </c>
      <c r="T71" s="418"/>
      <c r="U71" s="86"/>
      <c r="X71" s="465"/>
      <c r="Y71" s="465"/>
    </row>
    <row r="72" spans="1:25" s="108" customFormat="1" x14ac:dyDescent="0.25">
      <c r="A72" s="115"/>
      <c r="B72" s="276"/>
      <c r="C72" s="277" t="str">
        <f>IF(R72&lt;&gt;"",VLOOKUP(R72,BERAHLAK!$B$5:$C$53,2,FALSE),"")</f>
        <v>- Memberi kesempatan kepada berbagai pihak untuk berkontribusi</v>
      </c>
      <c r="D72" s="249"/>
      <c r="E72" s="249"/>
      <c r="F72" s="249"/>
      <c r="G72" s="249"/>
      <c r="H72" s="249"/>
      <c r="I72" s="278" t="s">
        <v>27</v>
      </c>
      <c r="J72" s="279"/>
      <c r="K72" s="252"/>
      <c r="L72" s="253"/>
      <c r="M72" s="700" t="str">
        <f>IF(T72&lt;&gt;"",VLOOKUP(T72,'UMPAN-BALIK'!$B$5:$C$53,2,FALSE),"")</f>
        <v>Teman sejawat: Sangat terbuka terhadap masukan dari teman sejawat karena ketika dialog selalu 2 arah.</v>
      </c>
      <c r="N72" s="602"/>
      <c r="O72" s="115"/>
      <c r="R72" s="413" t="s">
        <v>174</v>
      </c>
      <c r="S72" s="699"/>
      <c r="T72" s="414" t="s">
        <v>174</v>
      </c>
      <c r="U72" s="86"/>
      <c r="X72" s="465">
        <f>IF(R72="7.1",1,0)</f>
        <v>1</v>
      </c>
      <c r="Y72" s="465"/>
    </row>
    <row r="73" spans="1:25" s="108" customFormat="1" ht="36.75" customHeight="1" x14ac:dyDescent="0.25">
      <c r="A73" s="115"/>
      <c r="B73" s="276"/>
      <c r="C73" s="282" t="str">
        <f>IF(R73&lt;&gt;"",VLOOKUP(R73,BERAHLAK!$B$5:$C$53,2,FALSE),"")</f>
        <v>- Terbuka dalam bekerja sama untuk menghasilkan nilai tambah</v>
      </c>
      <c r="D73" s="254"/>
      <c r="E73" s="254"/>
      <c r="F73" s="254"/>
      <c r="G73" s="254"/>
      <c r="H73" s="254"/>
      <c r="I73" s="608" t="str">
        <f>IF(S73&lt;&gt;"",VLOOKUP(S73,BERAHLAK!$E$5:$F$53,2,FALSE),"")</f>
        <v>- Aktif berpartisipasi sesuai keahliannya pada project unit kerja</v>
      </c>
      <c r="J73" s="536"/>
      <c r="K73" s="536"/>
      <c r="L73" s="537"/>
      <c r="M73" s="706"/>
      <c r="N73" s="537"/>
      <c r="O73" s="115"/>
      <c r="R73" s="413" t="s">
        <v>175</v>
      </c>
      <c r="S73" s="415" t="s">
        <v>174</v>
      </c>
      <c r="T73" s="412"/>
      <c r="U73" s="86"/>
      <c r="X73" s="465">
        <f>IF(R73="7.2",1,0)</f>
        <v>1</v>
      </c>
      <c r="Y73" s="465">
        <f>IF(S73="7.1",1,0)</f>
        <v>1</v>
      </c>
    </row>
    <row r="74" spans="1:25" s="108" customFormat="1" ht="36.75" customHeight="1" x14ac:dyDescent="0.25">
      <c r="A74" s="115"/>
      <c r="B74" s="280"/>
      <c r="C74" s="281" t="str">
        <f>IF(R74&lt;&gt;"",VLOOKUP(R74,BERAHLAK!$B$5:$C$53,2,FALSE),"")</f>
        <v>- Menggerakkan pemanfaatan berbagai sumberdaya untuk tujuan bersama</v>
      </c>
      <c r="D74" s="258"/>
      <c r="E74" s="258"/>
      <c r="F74" s="258"/>
      <c r="G74" s="258"/>
      <c r="H74" s="258"/>
      <c r="I74" s="599" t="str">
        <f>IF(S74&lt;&gt;"",VLOOKUP(S74,BERAHLAK!$E$5:$F$53,2,FALSE),"")</f>
        <v>- Aktif berkontribusi sesuai keahliannya pada project unit kerja</v>
      </c>
      <c r="J74" s="539"/>
      <c r="K74" s="539"/>
      <c r="L74" s="540"/>
      <c r="M74" s="710" t="str">
        <f>IF(T74&lt;&gt;"",VLOOKUP(T74,'UMPAN-BALIK'!$B$5:$C$53,2,FALSE),"")</f>
        <v/>
      </c>
      <c r="N74" s="540"/>
      <c r="O74" s="115"/>
      <c r="R74" s="413" t="s">
        <v>176</v>
      </c>
      <c r="S74" s="415" t="s">
        <v>175</v>
      </c>
      <c r="T74" s="414"/>
      <c r="U74" s="86"/>
      <c r="X74" s="465">
        <f>IF(R74="7.3",1,0)</f>
        <v>1</v>
      </c>
      <c r="Y74" s="465">
        <f>IF(S74="7.2",1,0)</f>
        <v>1</v>
      </c>
    </row>
    <row r="75" spans="1:25" s="107" customFormat="1" ht="18" customHeight="1" x14ac:dyDescent="0.25">
      <c r="A75" s="114"/>
      <c r="B75" s="660" t="s">
        <v>73</v>
      </c>
      <c r="C75" s="661"/>
      <c r="D75" s="344"/>
      <c r="E75" s="344"/>
      <c r="F75" s="344"/>
      <c r="G75" s="344"/>
      <c r="H75" s="344"/>
      <c r="I75" s="344"/>
      <c r="J75" s="344"/>
      <c r="K75" s="344"/>
      <c r="L75" s="344"/>
      <c r="M75" s="344"/>
      <c r="N75" s="345"/>
      <c r="O75" s="114"/>
      <c r="R75" s="419">
        <f>X75</f>
        <v>21</v>
      </c>
      <c r="S75" s="419">
        <f>Y75</f>
        <v>10</v>
      </c>
      <c r="T75" s="419"/>
      <c r="U75" s="118"/>
      <c r="X75" s="467">
        <f>SUM(X48:X74)</f>
        <v>21</v>
      </c>
      <c r="Y75" s="467">
        <f>SUM(Y49:Y74)</f>
        <v>10</v>
      </c>
    </row>
    <row r="76" spans="1:25" s="107" customFormat="1" ht="18" customHeight="1" x14ac:dyDescent="0.25">
      <c r="A76" s="114"/>
      <c r="B76" s="662" t="s">
        <v>264</v>
      </c>
      <c r="C76" s="663"/>
      <c r="D76" s="346"/>
      <c r="E76" s="346"/>
      <c r="F76" s="346"/>
      <c r="G76" s="346"/>
      <c r="H76" s="346"/>
      <c r="I76" s="346"/>
      <c r="J76" s="346"/>
      <c r="K76" s="346"/>
      <c r="L76" s="346"/>
      <c r="M76" s="346"/>
      <c r="N76" s="347"/>
      <c r="O76" s="114"/>
      <c r="R76" s="420">
        <f>COUNTA(R48:R50,R52:R54,R56:R58,R60:R62,R64:R66,R68:R70,R72:R74)</f>
        <v>21</v>
      </c>
      <c r="S76" s="420">
        <f>COUNTA(S49:S50,S53,S57:S58,S61:S62,S65,S69,S73:S74)</f>
        <v>11</v>
      </c>
      <c r="T76" s="419"/>
      <c r="U76" s="118"/>
    </row>
    <row r="77" spans="1:25" s="107" customFormat="1" ht="18" customHeight="1" x14ac:dyDescent="0.25">
      <c r="A77" s="114"/>
      <c r="B77" s="660" t="s">
        <v>74</v>
      </c>
      <c r="C77" s="661"/>
      <c r="D77" s="664"/>
      <c r="E77" s="344"/>
      <c r="F77" s="344"/>
      <c r="G77" s="344"/>
      <c r="H77" s="344"/>
      <c r="I77" s="344"/>
      <c r="J77" s="344"/>
      <c r="K77" s="344"/>
      <c r="L77" s="344"/>
      <c r="M77" s="344"/>
      <c r="N77" s="345"/>
      <c r="O77" s="114"/>
      <c r="R77" s="421">
        <f>(R75/R76)*100</f>
        <v>100</v>
      </c>
      <c r="S77" s="422">
        <f>(S75/S76)*100</f>
        <v>90.909090909090907</v>
      </c>
      <c r="T77" s="419"/>
      <c r="U77" s="118"/>
    </row>
    <row r="78" spans="1:25" s="107" customFormat="1" ht="18" customHeight="1" x14ac:dyDescent="0.25">
      <c r="A78" s="114"/>
      <c r="B78" s="665" t="str">
        <f>VLOOKUP(B45&amp;B76,KUADRAN!$D$4:$E$21,2,0)</f>
        <v>BAIK</v>
      </c>
      <c r="C78" s="666"/>
      <c r="D78" s="122"/>
      <c r="E78" s="122"/>
      <c r="F78" s="122"/>
      <c r="G78" s="122"/>
      <c r="H78" s="122"/>
      <c r="I78" s="122"/>
      <c r="J78" s="122"/>
      <c r="K78" s="122"/>
      <c r="L78" s="122"/>
      <c r="M78" s="122"/>
      <c r="N78" s="123"/>
      <c r="O78" s="114"/>
      <c r="R78" s="423">
        <f>AVERAGE(R77:S77)</f>
        <v>95.454545454545453</v>
      </c>
      <c r="S78" s="687" t="str">
        <f>IF(R78&lt;=86,"DI BAWAH EKSPETASI",IF(R78&lt;=96,"SESUAI EKSPETASI",IF(R78&lt;=100,"DI ATAS EKSPETASI","")))</f>
        <v>SESUAI EKSPETASI</v>
      </c>
      <c r="T78" s="688"/>
      <c r="U78" s="688"/>
      <c r="V78" s="688"/>
    </row>
    <row r="79" spans="1:25" x14ac:dyDescent="0.25">
      <c r="A79" s="110"/>
      <c r="O79" s="110"/>
    </row>
    <row r="80" spans="1:25" x14ac:dyDescent="0.25">
      <c r="A80" s="110"/>
      <c r="O80" s="110"/>
    </row>
    <row r="81" spans="1:15" x14ac:dyDescent="0.25">
      <c r="A81" s="110"/>
      <c r="O81" s="110"/>
    </row>
    <row r="82" spans="1:15" x14ac:dyDescent="0.25">
      <c r="A82" s="110"/>
      <c r="J82" s="667" t="str">
        <f>'00 DATA'!N8&amp;", "&amp;'00 DATA'!N9&amp;""</f>
        <v>Kotabumi , 31 Desember 2022</v>
      </c>
      <c r="K82" s="667"/>
      <c r="L82" s="667"/>
      <c r="M82" s="667"/>
      <c r="N82" s="667"/>
      <c r="O82" s="110"/>
    </row>
    <row r="83" spans="1:15" x14ac:dyDescent="0.25">
      <c r="A83" s="110"/>
      <c r="B83" s="69"/>
      <c r="C83" s="69"/>
      <c r="D83" s="69"/>
      <c r="E83" s="69"/>
      <c r="F83" s="69"/>
      <c r="G83" s="69"/>
      <c r="H83" s="69"/>
      <c r="I83" s="69"/>
      <c r="J83" s="667" t="s">
        <v>53</v>
      </c>
      <c r="K83" s="667"/>
      <c r="L83" s="667"/>
      <c r="M83" s="667"/>
      <c r="N83" s="667"/>
      <c r="O83" s="110"/>
    </row>
    <row r="84" spans="1:15" x14ac:dyDescent="0.25">
      <c r="A84" s="110"/>
      <c r="B84" s="69"/>
      <c r="C84" s="69"/>
      <c r="D84" s="69"/>
      <c r="E84" s="69"/>
      <c r="F84" s="69"/>
      <c r="G84" s="69"/>
      <c r="H84" s="69"/>
      <c r="I84" s="69"/>
      <c r="J84" s="542"/>
      <c r="K84" s="542"/>
      <c r="L84" s="542"/>
      <c r="M84" s="542"/>
      <c r="N84" s="542"/>
      <c r="O84" s="110"/>
    </row>
    <row r="85" spans="1:15" x14ac:dyDescent="0.25">
      <c r="A85" s="110"/>
      <c r="B85" s="69"/>
      <c r="C85" s="69"/>
      <c r="D85" s="69"/>
      <c r="E85" s="69"/>
      <c r="F85" s="69"/>
      <c r="G85" s="69"/>
      <c r="H85" s="69"/>
      <c r="I85" s="69"/>
      <c r="J85" s="542"/>
      <c r="K85" s="542"/>
      <c r="L85" s="542"/>
      <c r="M85" s="542"/>
      <c r="N85" s="542"/>
      <c r="O85" s="110"/>
    </row>
    <row r="86" spans="1:15" x14ac:dyDescent="0.25">
      <c r="A86" s="110"/>
      <c r="B86" s="69"/>
      <c r="C86" s="69"/>
      <c r="D86" s="69"/>
      <c r="E86" s="69"/>
      <c r="F86" s="69"/>
      <c r="G86" s="69"/>
      <c r="H86" s="69"/>
      <c r="I86" s="69"/>
      <c r="J86" s="542"/>
      <c r="K86" s="542"/>
      <c r="L86" s="542"/>
      <c r="M86" s="542"/>
      <c r="N86" s="542"/>
      <c r="O86" s="110"/>
    </row>
    <row r="87" spans="1:15" x14ac:dyDescent="0.25">
      <c r="A87" s="110"/>
      <c r="B87" s="69"/>
      <c r="C87" s="69"/>
      <c r="D87" s="69"/>
      <c r="E87" s="69"/>
      <c r="F87" s="69"/>
      <c r="G87" s="69"/>
      <c r="H87" s="69"/>
      <c r="I87" s="69"/>
      <c r="J87" s="585" t="str">
        <f>"("&amp;L9&amp;")"</f>
        <v>(TUTI ROSPASARI, S.Pd. M.Pd.)</v>
      </c>
      <c r="K87" s="585"/>
      <c r="L87" s="585"/>
      <c r="M87" s="585"/>
      <c r="N87" s="585"/>
      <c r="O87" s="110"/>
    </row>
    <row r="88" spans="1:15" x14ac:dyDescent="0.25">
      <c r="A88" s="110"/>
      <c r="B88" s="69"/>
      <c r="C88" s="69"/>
      <c r="D88" s="69"/>
      <c r="E88" s="69"/>
      <c r="F88" s="69"/>
      <c r="G88" s="69"/>
      <c r="H88" s="69"/>
      <c r="I88" s="69"/>
      <c r="J88" s="542" t="str">
        <f>"NIP. "&amp;L10&amp;""</f>
        <v>NIP. 19721025 199802 2 003</v>
      </c>
      <c r="K88" s="542"/>
      <c r="L88" s="542"/>
      <c r="M88" s="542"/>
      <c r="N88" s="542"/>
      <c r="O88" s="110"/>
    </row>
    <row r="89" spans="1:15" x14ac:dyDescent="0.25">
      <c r="A89" s="110"/>
      <c r="O89" s="110"/>
    </row>
    <row r="90" spans="1:15" x14ac:dyDescent="0.25">
      <c r="A90" s="110"/>
      <c r="O90" s="110"/>
    </row>
    <row r="91" spans="1:15" ht="25.5" customHeight="1" x14ac:dyDescent="0.25">
      <c r="A91" s="110"/>
      <c r="B91" s="110"/>
      <c r="C91" s="110"/>
      <c r="D91" s="110"/>
      <c r="E91" s="110"/>
      <c r="F91" s="110"/>
      <c r="G91" s="110"/>
      <c r="H91" s="110"/>
      <c r="I91" s="110"/>
      <c r="J91" s="110"/>
      <c r="K91" s="110"/>
      <c r="L91" s="110"/>
      <c r="M91" s="110"/>
      <c r="N91" s="110"/>
      <c r="O91" s="110"/>
    </row>
    <row r="101" spans="14:14" x14ac:dyDescent="0.25">
      <c r="N101" s="105"/>
    </row>
    <row r="102" spans="14:14" x14ac:dyDescent="0.25">
      <c r="N102" s="63"/>
    </row>
    <row r="103" spans="14:14" x14ac:dyDescent="0.25">
      <c r="N103" s="63"/>
    </row>
  </sheetData>
  <sheetProtection algorithmName="SHA-512" hashValue="Ap1u0DQoMB08ft15ltJX2imfYiRvrEMnDSM2dvT2N0EfFUIjefksxPwdis2AggYx4rS8JhBVLaq9DyjRUFxwnQ==" saltValue="O1io5sUPHlcecBflrgUaWA==" spinCount="100000" sheet="1" objects="1" scenarios="1"/>
  <protectedRanges>
    <protectedRange sqref="U24" name="Range11"/>
    <protectedRange sqref="K38:K43 K22:K36" name="Range3"/>
    <protectedRange sqref="R47:R74 S49:S50 S53:S54 S57:S58 S61:S62 S65:S66 S73:S74 S69:S70" name="Range2"/>
    <protectedRange sqref="B76:C76" name="Range7"/>
    <protectedRange sqref="B45:C45" name="Range8"/>
    <protectedRange sqref="A1" name="Range10"/>
    <protectedRange sqref="T48:T74" name="Range12"/>
  </protectedRanges>
  <mergeCells count="136">
    <mergeCell ref="C52:H52"/>
    <mergeCell ref="T42:W42"/>
    <mergeCell ref="I57:L57"/>
    <mergeCell ref="I58:L58"/>
    <mergeCell ref="I61:L61"/>
    <mergeCell ref="I62:L62"/>
    <mergeCell ref="B41:B43"/>
    <mergeCell ref="C41:C43"/>
    <mergeCell ref="D41:E43"/>
    <mergeCell ref="G42:H42"/>
    <mergeCell ref="G43:H43"/>
    <mergeCell ref="G41:H41"/>
    <mergeCell ref="B45:C45"/>
    <mergeCell ref="M56:N57"/>
    <mergeCell ref="M58:N58"/>
    <mergeCell ref="M60:N61"/>
    <mergeCell ref="M62:N62"/>
    <mergeCell ref="G27:H27"/>
    <mergeCell ref="G28:H28"/>
    <mergeCell ref="B37:N37"/>
    <mergeCell ref="B25:B27"/>
    <mergeCell ref="C25:C27"/>
    <mergeCell ref="D25:E27"/>
    <mergeCell ref="G26:H26"/>
    <mergeCell ref="G25:H25"/>
    <mergeCell ref="B31:B33"/>
    <mergeCell ref="C31:C33"/>
    <mergeCell ref="D31:E33"/>
    <mergeCell ref="G31:H31"/>
    <mergeCell ref="B34:B36"/>
    <mergeCell ref="C34:C36"/>
    <mergeCell ref="D34:E36"/>
    <mergeCell ref="G34:H34"/>
    <mergeCell ref="G35:H35"/>
    <mergeCell ref="G36:H36"/>
    <mergeCell ref="G32:H32"/>
    <mergeCell ref="G33:H33"/>
    <mergeCell ref="J86:N86"/>
    <mergeCell ref="J87:N87"/>
    <mergeCell ref="C64:H64"/>
    <mergeCell ref="J88:N88"/>
    <mergeCell ref="J82:N82"/>
    <mergeCell ref="J83:N83"/>
    <mergeCell ref="J84:N84"/>
    <mergeCell ref="J85:N85"/>
    <mergeCell ref="I73:L73"/>
    <mergeCell ref="I74:L74"/>
    <mergeCell ref="I70:L70"/>
    <mergeCell ref="B76:C76"/>
    <mergeCell ref="B78:C78"/>
    <mergeCell ref="M68:N69"/>
    <mergeCell ref="M70:N70"/>
    <mergeCell ref="B75:C75"/>
    <mergeCell ref="B77:D77"/>
    <mergeCell ref="M64:N65"/>
    <mergeCell ref="M66:N66"/>
    <mergeCell ref="M72:N73"/>
    <mergeCell ref="M74:N74"/>
    <mergeCell ref="I65:L65"/>
    <mergeCell ref="I69:L69"/>
    <mergeCell ref="B2:N2"/>
    <mergeCell ref="B3:N3"/>
    <mergeCell ref="B4:N4"/>
    <mergeCell ref="B6:N6"/>
    <mergeCell ref="B7:G7"/>
    <mergeCell ref="H7:J7"/>
    <mergeCell ref="I9:K9"/>
    <mergeCell ref="B28:B30"/>
    <mergeCell ref="C28:C30"/>
    <mergeCell ref="D28:E30"/>
    <mergeCell ref="G29:H29"/>
    <mergeCell ref="G30:H30"/>
    <mergeCell ref="C12:D12"/>
    <mergeCell ref="E12:G12"/>
    <mergeCell ref="L12:N12"/>
    <mergeCell ref="C13:D13"/>
    <mergeCell ref="E13:G13"/>
    <mergeCell ref="L13:N13"/>
    <mergeCell ref="D20:E20"/>
    <mergeCell ref="G20:H20"/>
    <mergeCell ref="K20:L20"/>
    <mergeCell ref="B14:N14"/>
    <mergeCell ref="C10:D10"/>
    <mergeCell ref="E10:G10"/>
    <mergeCell ref="L10:N10"/>
    <mergeCell ref="I10:K10"/>
    <mergeCell ref="I11:K11"/>
    <mergeCell ref="I12:K12"/>
    <mergeCell ref="I13:K13"/>
    <mergeCell ref="I8:N8"/>
    <mergeCell ref="M19:N19"/>
    <mergeCell ref="C8:G8"/>
    <mergeCell ref="C9:D9"/>
    <mergeCell ref="E9:G9"/>
    <mergeCell ref="L9:N9"/>
    <mergeCell ref="B15:N15"/>
    <mergeCell ref="B16:N16"/>
    <mergeCell ref="B17:N17"/>
    <mergeCell ref="B18:N18"/>
    <mergeCell ref="D19:E19"/>
    <mergeCell ref="G19:H19"/>
    <mergeCell ref="K19:L19"/>
    <mergeCell ref="B21:N21"/>
    <mergeCell ref="G22:H22"/>
    <mergeCell ref="C11:D11"/>
    <mergeCell ref="E11:G11"/>
    <mergeCell ref="L11:N11"/>
    <mergeCell ref="G24:H24"/>
    <mergeCell ref="B22:B24"/>
    <mergeCell ref="C22:C24"/>
    <mergeCell ref="D22:E24"/>
    <mergeCell ref="G23:H23"/>
    <mergeCell ref="B38:B40"/>
    <mergeCell ref="C38:C40"/>
    <mergeCell ref="D38:E40"/>
    <mergeCell ref="G38:H38"/>
    <mergeCell ref="G39:H39"/>
    <mergeCell ref="G40:H40"/>
    <mergeCell ref="S78:V78"/>
    <mergeCell ref="S47:S48"/>
    <mergeCell ref="S51:S52"/>
    <mergeCell ref="S54:S56"/>
    <mergeCell ref="S59:S60"/>
    <mergeCell ref="S63:S64"/>
    <mergeCell ref="S66:S68"/>
    <mergeCell ref="S71:S72"/>
    <mergeCell ref="M46:N46"/>
    <mergeCell ref="I50:L50"/>
    <mergeCell ref="R42:S42"/>
    <mergeCell ref="I49:L49"/>
    <mergeCell ref="C53:H53"/>
    <mergeCell ref="I53:L53"/>
    <mergeCell ref="M48:N49"/>
    <mergeCell ref="M50:N50"/>
    <mergeCell ref="M52:N53"/>
    <mergeCell ref="M54:N54"/>
  </mergeCells>
  <dataValidations count="1">
    <dataValidation type="list" allowBlank="1" showInputMessage="1" showErrorMessage="1" sqref="B76 B45">
      <formula1>"DI ATAS EKSPEKTASI,SESUAI EKSPEKTASI,DI BAWAH EKSPEKTASI,DI ATAS EKSPEKTASI/ SESUAI EKSPEKTASI/ DIBAWAH EKSPEKTASI**"</formula1>
    </dataValidation>
  </dataValidations>
  <hyperlinks>
    <hyperlink ref="O1" location="HOME!A1" display="HOME"/>
  </hyperlinks>
  <printOptions horizontalCentered="1"/>
  <pageMargins left="0.39370078740157483" right="0.39370078740157483" top="0.59055118110236227" bottom="0.59055118110236227" header="0.31496062992125984" footer="0.39370078740157483"/>
  <pageSetup paperSize="9" scale="63" orientation="landscape" r:id="rId1"/>
  <headerFooter>
    <oddFooter>&amp;CHASIL EVALUASI KINERJA PEGAWAI&amp;R&amp;P</oddFooter>
  </headerFooter>
  <rowBreaks count="3" manualBreakCount="3">
    <brk id="27" min="1" max="13" man="1"/>
    <brk id="45" min="1" max="13" man="1"/>
    <brk id="66" min="1" max="13" man="1"/>
  </rowBreaks>
  <colBreaks count="1" manualBreakCount="1">
    <brk id="14" max="1048575" man="1"/>
  </col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J54"/>
  <sheetViews>
    <sheetView showGridLines="0" zoomScaleNormal="100" workbookViewId="0">
      <pane xSplit="2" ySplit="4" topLeftCell="C30" activePane="bottomRight" state="frozen"/>
      <selection pane="topRight" activeCell="C1" sqref="C1"/>
      <selection pane="bottomLeft" activeCell="A4" sqref="A4"/>
      <selection pane="bottomRight" activeCell="B1" sqref="B1"/>
    </sheetView>
  </sheetViews>
  <sheetFormatPr defaultColWidth="9.140625" defaultRowHeight="15.75" x14ac:dyDescent="0.25"/>
  <cols>
    <col min="1" max="1" width="4.5703125" style="63" customWidth="1"/>
    <col min="2" max="2" width="7.42578125" style="71" customWidth="1"/>
    <col min="3" max="3" width="62.7109375" style="84" customWidth="1"/>
    <col min="4" max="4" width="4.7109375" style="63" customWidth="1"/>
    <col min="5" max="5" width="7.42578125" style="71" customWidth="1"/>
    <col min="6" max="6" width="62.7109375" style="84" customWidth="1"/>
    <col min="7" max="7" width="4.7109375" style="63" customWidth="1"/>
    <col min="8" max="8" width="7.42578125" style="71" hidden="1" customWidth="1"/>
    <col min="9" max="9" width="62.7109375" style="84" hidden="1" customWidth="1"/>
    <col min="10" max="10" width="4.5703125" style="63" customWidth="1"/>
    <col min="11" max="16384" width="9.140625" style="63"/>
  </cols>
  <sheetData>
    <row r="1" spans="1:10" ht="17.45" x14ac:dyDescent="0.35">
      <c r="A1" s="234"/>
      <c r="B1" s="72" t="s">
        <v>255</v>
      </c>
      <c r="C1" s="234"/>
      <c r="D1" s="234"/>
      <c r="E1" s="234"/>
      <c r="F1" s="234"/>
      <c r="G1" s="234"/>
      <c r="H1" s="234"/>
      <c r="I1" s="393" t="str">
        <f>HOME!E1</f>
        <v>KEPALA SEKOLAH</v>
      </c>
      <c r="J1" s="234"/>
    </row>
    <row r="2" spans="1:10" x14ac:dyDescent="0.25">
      <c r="A2" s="234"/>
      <c r="C2" s="84" t="s">
        <v>303</v>
      </c>
      <c r="E2" s="84" t="s">
        <v>352</v>
      </c>
      <c r="H2" s="84" t="s">
        <v>352</v>
      </c>
      <c r="J2" s="234"/>
    </row>
    <row r="3" spans="1:10" ht="15.6" x14ac:dyDescent="0.35">
      <c r="A3" s="234"/>
      <c r="C3" s="332" t="s">
        <v>221</v>
      </c>
      <c r="E3" s="333" t="s">
        <v>224</v>
      </c>
      <c r="H3" s="333" t="s">
        <v>375</v>
      </c>
      <c r="J3" s="234"/>
    </row>
    <row r="4" spans="1:10" ht="15.6" x14ac:dyDescent="0.35">
      <c r="A4" s="234"/>
      <c r="B4" s="83" t="s">
        <v>147</v>
      </c>
      <c r="C4" s="85" t="s">
        <v>149</v>
      </c>
      <c r="E4" s="83" t="s">
        <v>147</v>
      </c>
      <c r="F4" s="85" t="s">
        <v>149</v>
      </c>
      <c r="H4" s="83" t="s">
        <v>147</v>
      </c>
      <c r="I4" s="85" t="s">
        <v>149</v>
      </c>
      <c r="J4" s="234"/>
    </row>
    <row r="5" spans="1:10" s="372" customFormat="1" ht="15" x14ac:dyDescent="0.3">
      <c r="A5" s="369"/>
      <c r="B5" s="370" t="s">
        <v>76</v>
      </c>
      <c r="C5" s="371" t="s">
        <v>148</v>
      </c>
      <c r="E5" s="370" t="s">
        <v>76</v>
      </c>
      <c r="F5" s="371" t="s">
        <v>148</v>
      </c>
      <c r="H5" s="370" t="str">
        <f>'UMPAN-BALIK'!B5</f>
        <v>1.</v>
      </c>
      <c r="I5" s="371" t="s">
        <v>148</v>
      </c>
      <c r="J5" s="369"/>
    </row>
    <row r="6" spans="1:10" ht="46.5" x14ac:dyDescent="0.35">
      <c r="A6" s="234"/>
      <c r="B6" s="74" t="s">
        <v>156</v>
      </c>
      <c r="C6" s="82" t="s">
        <v>26</v>
      </c>
      <c r="D6" s="77"/>
      <c r="E6" s="74" t="s">
        <v>156</v>
      </c>
      <c r="F6" s="82" t="s">
        <v>369</v>
      </c>
      <c r="G6" s="77"/>
      <c r="H6" s="370" t="str">
        <f>'UMPAN-BALIK'!B6</f>
        <v>1.1</v>
      </c>
      <c r="I6" s="82" t="str">
        <f>IF($I$1="PENGAWAS",'UMPAN-BALIK'!C6,IF($I$1="KEPALA SEKOLAH",'UMPAN-BALIK'!I6,IF($I$1="GURU",'UMPAN-BALIK'!L6,IF($I$1="TENDIK",'UMPAN-BALIK'!O6,""))))</f>
        <v>Stakeholder terkait: Ramah dalam memberikan pelayanan kepada stakeholder (komite sekolah, dinas terkait), semua warga sekolah (guru dan tenaga kependidikan lainnya).</v>
      </c>
      <c r="J6" s="234"/>
    </row>
    <row r="7" spans="1:10" ht="46.5" x14ac:dyDescent="0.35">
      <c r="A7" s="234"/>
      <c r="B7" s="74" t="s">
        <v>177</v>
      </c>
      <c r="C7" s="81" t="s">
        <v>178</v>
      </c>
      <c r="D7" s="77"/>
      <c r="E7" s="74" t="s">
        <v>177</v>
      </c>
      <c r="F7" s="81" t="s">
        <v>370</v>
      </c>
      <c r="G7" s="77"/>
      <c r="H7" s="370" t="str">
        <f>'UMPAN-BALIK'!B7</f>
        <v>1.1.1</v>
      </c>
      <c r="I7" s="82" t="str">
        <f>IF($I$1="PENGAWAS",'UMPAN-BALIK'!C7,IF($I$1="KEPALA SEKOLAH",'UMPAN-BALIK'!I7,IF($I$1="GURU",'UMPAN-BALIK'!L7,IF($I$1="TENDIK",'UMPAN-BALIK'!O7,""))))</f>
        <v>Stakeholder terkait: Kurang ramah dalam memberikan pelayanan kepada stakeholder (komite sekolah, dinas terkait), semua warga sekolah (guru dan tenaga kependidikan lainnya).</v>
      </c>
      <c r="J7" s="234"/>
    </row>
    <row r="8" spans="1:10" ht="30.95" x14ac:dyDescent="0.35">
      <c r="A8" s="234"/>
      <c r="B8" s="74" t="s">
        <v>157</v>
      </c>
      <c r="C8" s="82" t="s">
        <v>28</v>
      </c>
      <c r="D8" s="77"/>
      <c r="E8" s="74" t="s">
        <v>157</v>
      </c>
      <c r="F8" s="82" t="s">
        <v>371</v>
      </c>
      <c r="G8" s="77"/>
      <c r="H8" s="370" t="str">
        <f>'UMPAN-BALIK'!B8</f>
        <v>1.2</v>
      </c>
      <c r="I8" s="82" t="str">
        <f>IF($I$1="PENGAWAS",'UMPAN-BALIK'!C8,IF($I$1="KEPALA SEKOLAH",'UMPAN-BALIK'!I8,IF($I$1="GURU",'UMPAN-BALIK'!L8,IF($I$1="TENDIK",'UMPAN-BALIK'!O8,""))))</f>
        <v>Pimpinan : Yang bersangkutan dapat diandalkan ketika ada hal-hal yang membutuhkan penyelesaian segera.</v>
      </c>
      <c r="J8" s="234"/>
    </row>
    <row r="9" spans="1:10" ht="30.95" x14ac:dyDescent="0.35">
      <c r="A9" s="234"/>
      <c r="B9" s="74" t="s">
        <v>181</v>
      </c>
      <c r="C9" s="81" t="s">
        <v>179</v>
      </c>
      <c r="D9" s="77"/>
      <c r="E9" s="74" t="s">
        <v>181</v>
      </c>
      <c r="F9" s="81" t="s">
        <v>372</v>
      </c>
      <c r="G9" s="77"/>
      <c r="H9" s="370" t="str">
        <f>'UMPAN-BALIK'!B9</f>
        <v>1.2.1</v>
      </c>
      <c r="I9" s="82" t="str">
        <f>IF($I$1="PENGAWAS",'UMPAN-BALIK'!C9,IF($I$1="KEPALA SEKOLAH",'UMPAN-BALIK'!I9,IF($I$1="GURU",'UMPAN-BALIK'!L9,IF($I$1="TENDIK",'UMPAN-BALIK'!O9,""))))</f>
        <v>Pimpinan : Yang bersangkutan kurang dapat diandalkan ketika ada hal-hal yang membutuhkan penyelesaian segera.</v>
      </c>
      <c r="J9" s="234"/>
    </row>
    <row r="10" spans="1:10" ht="15.6" x14ac:dyDescent="0.35">
      <c r="A10" s="234"/>
      <c r="B10" s="74" t="s">
        <v>158</v>
      </c>
      <c r="C10" s="82" t="s">
        <v>29</v>
      </c>
      <c r="D10" s="77"/>
      <c r="E10" s="74" t="s">
        <v>158</v>
      </c>
      <c r="F10" s="82"/>
      <c r="G10" s="77"/>
      <c r="H10" s="370" t="str">
        <f>'UMPAN-BALIK'!B10</f>
        <v>1.3</v>
      </c>
      <c r="I10" s="82">
        <f>IF($I$1="PENGAWAS",'UMPAN-BALIK'!C10,IF($I$1="KEPALA SEKOLAH",'UMPAN-BALIK'!I10,IF($I$1="GURU",'UMPAN-BALIK'!L10,IF($I$1="TENDIK",'UMPAN-BALIK'!O10,""))))</f>
        <v>0</v>
      </c>
      <c r="J10" s="234"/>
    </row>
    <row r="11" spans="1:10" ht="30.95" x14ac:dyDescent="0.35">
      <c r="A11" s="234"/>
      <c r="B11" s="74" t="s">
        <v>182</v>
      </c>
      <c r="C11" s="81" t="s">
        <v>180</v>
      </c>
      <c r="D11" s="77"/>
      <c r="E11" s="74" t="s">
        <v>182</v>
      </c>
      <c r="F11" s="81"/>
      <c r="G11" s="77"/>
      <c r="H11" s="370" t="str">
        <f>'UMPAN-BALIK'!B11</f>
        <v>1.3.1</v>
      </c>
      <c r="I11" s="82">
        <f>IF($I$1="PENGAWAS",'UMPAN-BALIK'!C11,IF($I$1="KEPALA SEKOLAH",'UMPAN-BALIK'!I11,IF($I$1="GURU",'UMPAN-BALIK'!L11,IF($I$1="TENDIK",'UMPAN-BALIK'!O11,""))))</f>
        <v>0</v>
      </c>
      <c r="J11" s="234"/>
    </row>
    <row r="12" spans="1:10" s="372" customFormat="1" ht="30.75" customHeight="1" x14ac:dyDescent="0.3">
      <c r="A12" s="369"/>
      <c r="B12" s="370" t="s">
        <v>78</v>
      </c>
      <c r="C12" s="371" t="s">
        <v>30</v>
      </c>
      <c r="E12" s="370" t="s">
        <v>78</v>
      </c>
      <c r="F12" s="371" t="s">
        <v>30</v>
      </c>
      <c r="H12" s="370" t="str">
        <f>'UMPAN-BALIK'!B12</f>
        <v>2.</v>
      </c>
      <c r="I12" s="370" t="str">
        <f>'UMPAN-BALIK'!C12&amp;""</f>
        <v>Akuntabel</v>
      </c>
      <c r="J12" s="369"/>
    </row>
    <row r="13" spans="1:10" ht="30.75" customHeight="1" x14ac:dyDescent="0.35">
      <c r="A13" s="234"/>
      <c r="B13" s="74" t="s">
        <v>159</v>
      </c>
      <c r="C13" s="82" t="s">
        <v>31</v>
      </c>
      <c r="D13" s="77"/>
      <c r="E13" s="74" t="s">
        <v>159</v>
      </c>
      <c r="F13" s="82" t="s">
        <v>315</v>
      </c>
      <c r="G13" s="77"/>
      <c r="H13" s="370" t="str">
        <f>'UMPAN-BALIK'!B13</f>
        <v>2.1</v>
      </c>
      <c r="I13" s="394" t="str">
        <f>'UMPAN-BALIK'!C13&amp;""</f>
        <v>Teman sejawat: Selalu menunjukkan sikap bertanggung jawab meskipun ada kesalahan yang dilakukan anggota timnya.</v>
      </c>
      <c r="J13" s="234"/>
    </row>
    <row r="14" spans="1:10" ht="30.75" customHeight="1" x14ac:dyDescent="0.35">
      <c r="A14" s="234"/>
      <c r="B14" s="74" t="s">
        <v>184</v>
      </c>
      <c r="C14" s="81" t="s">
        <v>183</v>
      </c>
      <c r="D14" s="77"/>
      <c r="E14" s="74" t="s">
        <v>184</v>
      </c>
      <c r="F14" s="81" t="s">
        <v>316</v>
      </c>
      <c r="G14" s="77"/>
      <c r="H14" s="370" t="str">
        <f>'UMPAN-BALIK'!B14</f>
        <v>2.1.1</v>
      </c>
      <c r="I14" s="394" t="str">
        <f>'UMPAN-BALIK'!C14&amp;""</f>
        <v>Teman sejawat: Kurang menunjukkan sikap bertanggung jawab terlebih jika ada kesalahan yang dilakukan rekan timnya.</v>
      </c>
      <c r="J14" s="234"/>
    </row>
    <row r="15" spans="1:10" ht="30.75" customHeight="1" x14ac:dyDescent="0.35">
      <c r="A15" s="234"/>
      <c r="B15" s="74" t="s">
        <v>160</v>
      </c>
      <c r="C15" s="82" t="s">
        <v>32</v>
      </c>
      <c r="D15" s="77"/>
      <c r="E15" s="74" t="s">
        <v>160</v>
      </c>
      <c r="F15" s="82"/>
      <c r="G15" s="77"/>
      <c r="H15" s="370" t="str">
        <f>'UMPAN-BALIK'!B15</f>
        <v>2.2</v>
      </c>
      <c r="I15" s="394" t="str">
        <f>'UMPAN-BALIK'!C15&amp;""</f>
        <v>Pimpinan : Yang bersangkutan selalu merespon dengan cepat dan mengambil alternatif strategi.</v>
      </c>
      <c r="J15" s="234"/>
    </row>
    <row r="16" spans="1:10" ht="30.75" customHeight="1" x14ac:dyDescent="0.35">
      <c r="A16" s="234"/>
      <c r="B16" s="74" t="s">
        <v>185</v>
      </c>
      <c r="C16" s="81" t="s">
        <v>218</v>
      </c>
      <c r="D16" s="77"/>
      <c r="E16" s="74" t="s">
        <v>185</v>
      </c>
      <c r="F16" s="81"/>
      <c r="G16" s="77"/>
      <c r="H16" s="370" t="str">
        <f>'UMPAN-BALIK'!B16</f>
        <v>2.2.1</v>
      </c>
      <c r="I16" s="394" t="str">
        <f>'UMPAN-BALIK'!C16&amp;""</f>
        <v>Pimpinan : Yang bersangkutan kurang atau tidak merespon dengan baik dan tidak mengambil alternatif strategi.</v>
      </c>
      <c r="J16" s="234"/>
    </row>
    <row r="17" spans="1:10" ht="30.75" customHeight="1" x14ac:dyDescent="0.35">
      <c r="A17" s="234"/>
      <c r="B17" s="74" t="s">
        <v>161</v>
      </c>
      <c r="C17" s="82" t="s">
        <v>33</v>
      </c>
      <c r="D17" s="77"/>
      <c r="E17" s="74" t="s">
        <v>161</v>
      </c>
      <c r="F17" s="82"/>
      <c r="G17" s="77"/>
      <c r="H17" s="370" t="str">
        <f>'UMPAN-BALIK'!B17</f>
        <v>2.3</v>
      </c>
      <c r="I17" s="394" t="str">
        <f>'UMPAN-BALIK'!C17&amp;""</f>
        <v>0</v>
      </c>
      <c r="J17" s="234"/>
    </row>
    <row r="18" spans="1:10" ht="30.75" customHeight="1" x14ac:dyDescent="0.35">
      <c r="A18" s="234"/>
      <c r="B18" s="74" t="s">
        <v>186</v>
      </c>
      <c r="C18" s="81" t="s">
        <v>187</v>
      </c>
      <c r="D18" s="77"/>
      <c r="E18" s="74" t="s">
        <v>186</v>
      </c>
      <c r="F18" s="81"/>
      <c r="G18" s="77"/>
      <c r="H18" s="370" t="str">
        <f>'UMPAN-BALIK'!B18</f>
        <v>2.3.1</v>
      </c>
      <c r="I18" s="394" t="str">
        <f>'UMPAN-BALIK'!C18&amp;""</f>
        <v>0</v>
      </c>
      <c r="J18" s="234"/>
    </row>
    <row r="19" spans="1:10" s="372" customFormat="1" ht="30.75" customHeight="1" x14ac:dyDescent="0.3">
      <c r="A19" s="369"/>
      <c r="B19" s="370" t="s">
        <v>79</v>
      </c>
      <c r="C19" s="371" t="s">
        <v>34</v>
      </c>
      <c r="E19" s="370" t="s">
        <v>79</v>
      </c>
      <c r="F19" s="371" t="s">
        <v>34</v>
      </c>
      <c r="H19" s="370" t="str">
        <f>'UMPAN-BALIK'!B19</f>
        <v>3.</v>
      </c>
      <c r="I19" s="394" t="str">
        <f>'UMPAN-BALIK'!C19&amp;""</f>
        <v>Kompeten</v>
      </c>
      <c r="J19" s="369"/>
    </row>
    <row r="20" spans="1:10" ht="30.95" x14ac:dyDescent="0.35">
      <c r="A20" s="234"/>
      <c r="B20" s="74" t="s">
        <v>162</v>
      </c>
      <c r="C20" s="82" t="s">
        <v>35</v>
      </c>
      <c r="D20" s="77"/>
      <c r="E20" s="74" t="s">
        <v>162</v>
      </c>
      <c r="F20" s="82" t="s">
        <v>317</v>
      </c>
      <c r="G20" s="77"/>
      <c r="H20" s="370" t="str">
        <f>'UMPAN-BALIK'!B20</f>
        <v>3.1</v>
      </c>
      <c r="I20" s="394" t="str">
        <f>'UMPAN-BALIK'!C20&amp;""</f>
        <v>Pimpinan: Memperhatikan pengembangan kompetensi dan selalu memberikan feedback kepada teman dan pimpinan.</v>
      </c>
      <c r="J20" s="234"/>
    </row>
    <row r="21" spans="1:10" ht="30.75" customHeight="1" x14ac:dyDescent="0.35">
      <c r="A21" s="234"/>
      <c r="B21" s="74" t="s">
        <v>191</v>
      </c>
      <c r="C21" s="81" t="s">
        <v>188</v>
      </c>
      <c r="D21" s="77"/>
      <c r="E21" s="74" t="s">
        <v>191</v>
      </c>
      <c r="F21" s="81" t="s">
        <v>318</v>
      </c>
      <c r="G21" s="77"/>
      <c r="H21" s="370" t="str">
        <f>'UMPAN-BALIK'!B21</f>
        <v>3.1.1</v>
      </c>
      <c r="I21" s="394" t="str">
        <f>'UMPAN-BALIK'!C21&amp;""</f>
        <v xml:space="preserve">Pimpinan: Kurang memperhatikan pengembangan kompetensi dan jarang memberikan feedback kepada teman atau pimpinan.
</v>
      </c>
      <c r="J21" s="234"/>
    </row>
    <row r="22" spans="1:10" ht="30.75" customHeight="1" x14ac:dyDescent="0.35">
      <c r="A22" s="234"/>
      <c r="B22" s="74" t="s">
        <v>163</v>
      </c>
      <c r="C22" s="82" t="s">
        <v>36</v>
      </c>
      <c r="D22" s="77"/>
      <c r="E22" s="74" t="s">
        <v>163</v>
      </c>
      <c r="F22" s="82" t="s">
        <v>322</v>
      </c>
      <c r="G22" s="77"/>
      <c r="H22" s="370" t="str">
        <f>'UMPAN-BALIK'!B22</f>
        <v>3.2</v>
      </c>
      <c r="I22" s="394" t="str">
        <f>'UMPAN-BALIK'!C22&amp;""</f>
        <v>Pimpinan: Tugas dari pimpinan hampir selalu dikerjakan dengan baik</v>
      </c>
      <c r="J22" s="234"/>
    </row>
    <row r="23" spans="1:10" ht="30.75" customHeight="1" x14ac:dyDescent="0.35">
      <c r="A23" s="234"/>
      <c r="B23" s="74" t="s">
        <v>192</v>
      </c>
      <c r="C23" s="81" t="s">
        <v>189</v>
      </c>
      <c r="D23" s="77"/>
      <c r="E23" s="74" t="s">
        <v>192</v>
      </c>
      <c r="F23" s="81" t="s">
        <v>321</v>
      </c>
      <c r="G23" s="77"/>
      <c r="H23" s="370" t="str">
        <f>'UMPAN-BALIK'!B23</f>
        <v>3.2.1</v>
      </c>
      <c r="I23" s="394" t="str">
        <f>'UMPAN-BALIK'!C23&amp;""</f>
        <v>Pimpinan: Tugas dari pimpinan jarang dilaksanakan dengan baik.</v>
      </c>
      <c r="J23" s="234"/>
    </row>
    <row r="24" spans="1:10" ht="46.5" x14ac:dyDescent="0.35">
      <c r="A24" s="234"/>
      <c r="B24" s="74" t="s">
        <v>164</v>
      </c>
      <c r="C24" s="82" t="s">
        <v>37</v>
      </c>
      <c r="D24" s="76"/>
      <c r="E24" s="74" t="s">
        <v>164</v>
      </c>
      <c r="F24" s="82" t="s">
        <v>320</v>
      </c>
      <c r="G24" s="76"/>
      <c r="H24" s="370" t="str">
        <f>'UMPAN-BALIK'!B24</f>
        <v>3.3</v>
      </c>
      <c r="I24" s="394" t="str">
        <f>'UMPAN-BALIK'!C24&amp;""</f>
        <v>0</v>
      </c>
      <c r="J24" s="234"/>
    </row>
    <row r="25" spans="1:10" ht="46.5" x14ac:dyDescent="0.35">
      <c r="A25" s="234"/>
      <c r="B25" s="74" t="s">
        <v>193</v>
      </c>
      <c r="C25" s="81" t="s">
        <v>190</v>
      </c>
      <c r="D25" s="76"/>
      <c r="E25" s="74" t="s">
        <v>193</v>
      </c>
      <c r="F25" s="81" t="s">
        <v>319</v>
      </c>
      <c r="G25" s="76"/>
      <c r="H25" s="370" t="str">
        <f>'UMPAN-BALIK'!B25</f>
        <v>3.3.1</v>
      </c>
      <c r="I25" s="394" t="str">
        <f>'UMPAN-BALIK'!C25&amp;""</f>
        <v>0</v>
      </c>
      <c r="J25" s="234"/>
    </row>
    <row r="26" spans="1:10" s="372" customFormat="1" ht="30.75" customHeight="1" x14ac:dyDescent="0.3">
      <c r="A26" s="369"/>
      <c r="B26" s="370" t="s">
        <v>81</v>
      </c>
      <c r="C26" s="371" t="s">
        <v>150</v>
      </c>
      <c r="E26" s="370" t="s">
        <v>81</v>
      </c>
      <c r="F26" s="371" t="s">
        <v>150</v>
      </c>
      <c r="H26" s="370" t="str">
        <f>'UMPAN-BALIK'!B26</f>
        <v>4.</v>
      </c>
      <c r="I26" s="394" t="str">
        <f>'UMPAN-BALIK'!C26&amp;""</f>
        <v xml:space="preserve">Harmonis </v>
      </c>
      <c r="J26" s="369"/>
    </row>
    <row r="27" spans="1:10" ht="42" x14ac:dyDescent="0.35">
      <c r="A27" s="234"/>
      <c r="B27" s="74" t="s">
        <v>165</v>
      </c>
      <c r="C27" s="82" t="s">
        <v>38</v>
      </c>
      <c r="E27" s="74" t="s">
        <v>165</v>
      </c>
      <c r="F27" s="82" t="s">
        <v>151</v>
      </c>
      <c r="H27" s="370" t="str">
        <f>'UMPAN-BALIK'!B27</f>
        <v>4.1</v>
      </c>
      <c r="I27" s="394" t="str">
        <f>'UMPAN-BALIK'!C27&amp;""</f>
        <v>Pimpinan: Mampu menciptakan lingkungan yang kondusif di tim kerjanya terlihat dari tidak adanya anggota tim / teman sejawat yang berkonflik.</v>
      </c>
      <c r="J27" s="234"/>
    </row>
    <row r="28" spans="1:10" ht="42" x14ac:dyDescent="0.35">
      <c r="A28" s="234"/>
      <c r="B28" s="74" t="s">
        <v>197</v>
      </c>
      <c r="C28" s="81" t="s">
        <v>194</v>
      </c>
      <c r="E28" s="74" t="s">
        <v>197</v>
      </c>
      <c r="F28" s="81" t="s">
        <v>230</v>
      </c>
      <c r="H28" s="370" t="str">
        <f>'UMPAN-BALIK'!B28</f>
        <v>4.1.1</v>
      </c>
      <c r="I28" s="394" t="str">
        <f>'UMPAN-BALIK'!C28&amp;""</f>
        <v>Pimpinan: Kurang mampu menciptakan lingkungan yang kondusif di tim kerjanya terlihat dari adanya anggota tim / teman sejawat yang berkonflik.</v>
      </c>
      <c r="J28" s="234"/>
    </row>
    <row r="29" spans="1:10" ht="30.75" customHeight="1" x14ac:dyDescent="0.35">
      <c r="A29" s="234"/>
      <c r="B29" s="74" t="s">
        <v>166</v>
      </c>
      <c r="C29" s="82" t="s">
        <v>39</v>
      </c>
      <c r="E29" s="74" t="s">
        <v>166</v>
      </c>
      <c r="F29" s="82" t="s">
        <v>324</v>
      </c>
      <c r="H29" s="370" t="str">
        <f>'UMPAN-BALIK'!B29</f>
        <v>4.2</v>
      </c>
      <c r="I29" s="394" t="str">
        <f>'UMPAN-BALIK'!C29&amp;""</f>
        <v>0</v>
      </c>
      <c r="J29" s="234"/>
    </row>
    <row r="30" spans="1:10" ht="30.75" customHeight="1" x14ac:dyDescent="0.35">
      <c r="A30" s="234"/>
      <c r="B30" s="74" t="s">
        <v>198</v>
      </c>
      <c r="C30" s="81" t="s">
        <v>195</v>
      </c>
      <c r="E30" s="74" t="s">
        <v>198</v>
      </c>
      <c r="F30" s="81" t="s">
        <v>323</v>
      </c>
      <c r="H30" s="370" t="str">
        <f>'UMPAN-BALIK'!B30</f>
        <v>4.2.1</v>
      </c>
      <c r="I30" s="394" t="str">
        <f>'UMPAN-BALIK'!C30&amp;""</f>
        <v>0</v>
      </c>
      <c r="J30" s="234"/>
    </row>
    <row r="31" spans="1:10" ht="30.75" customHeight="1" x14ac:dyDescent="0.35">
      <c r="A31" s="234"/>
      <c r="B31" s="74" t="s">
        <v>167</v>
      </c>
      <c r="C31" s="82" t="s">
        <v>40</v>
      </c>
      <c r="E31" s="74" t="s">
        <v>167</v>
      </c>
      <c r="F31" s="82"/>
      <c r="H31" s="370" t="str">
        <f>'UMPAN-BALIK'!B31</f>
        <v>4.3</v>
      </c>
      <c r="I31" s="394" t="str">
        <f>'UMPAN-BALIK'!C31&amp;""</f>
        <v>0</v>
      </c>
      <c r="J31" s="234"/>
    </row>
    <row r="32" spans="1:10" ht="30.75" customHeight="1" x14ac:dyDescent="0.35">
      <c r="A32" s="234"/>
      <c r="B32" s="74" t="s">
        <v>199</v>
      </c>
      <c r="C32" s="81" t="s">
        <v>196</v>
      </c>
      <c r="E32" s="74" t="s">
        <v>199</v>
      </c>
      <c r="F32" s="81"/>
      <c r="H32" s="370" t="str">
        <f>'UMPAN-BALIK'!B32</f>
        <v>4.3.1</v>
      </c>
      <c r="I32" s="394" t="str">
        <f>'UMPAN-BALIK'!C32&amp;""</f>
        <v>0</v>
      </c>
      <c r="J32" s="234"/>
    </row>
    <row r="33" spans="1:10" s="372" customFormat="1" ht="30.75" customHeight="1" x14ac:dyDescent="0.3">
      <c r="A33" s="369"/>
      <c r="B33" s="370" t="s">
        <v>85</v>
      </c>
      <c r="C33" s="371" t="s">
        <v>41</v>
      </c>
      <c r="E33" s="370" t="s">
        <v>85</v>
      </c>
      <c r="F33" s="371" t="s">
        <v>41</v>
      </c>
      <c r="H33" s="370" t="str">
        <f>'UMPAN-BALIK'!B33</f>
        <v>5.</v>
      </c>
      <c r="I33" s="394" t="str">
        <f>'UMPAN-BALIK'!C33&amp;""</f>
        <v>Loyal</v>
      </c>
      <c r="J33" s="369"/>
    </row>
    <row r="34" spans="1:10" ht="46.5" x14ac:dyDescent="0.35">
      <c r="A34" s="234"/>
      <c r="B34" s="74" t="s">
        <v>168</v>
      </c>
      <c r="C34" s="82" t="s">
        <v>153</v>
      </c>
      <c r="E34" s="74" t="s">
        <v>168</v>
      </c>
      <c r="F34" s="82" t="s">
        <v>245</v>
      </c>
      <c r="H34" s="370" t="str">
        <f>'UMPAN-BALIK'!B34</f>
        <v>5.1</v>
      </c>
      <c r="I34" s="394" t="str">
        <f>'UMPAN-BALIK'!C34&amp;""</f>
        <v xml:space="preserve">Pimpinan: Arahan pimpinan selalu ditindaklanjuti dengan baik dan progresnya selalu dilaporkan dengan tepat waktu.
</v>
      </c>
      <c r="J34" s="234"/>
    </row>
    <row r="35" spans="1:10" ht="46.5" x14ac:dyDescent="0.35">
      <c r="A35" s="234"/>
      <c r="B35" s="74" t="s">
        <v>209</v>
      </c>
      <c r="C35" s="81" t="s">
        <v>200</v>
      </c>
      <c r="E35" s="74" t="s">
        <v>209</v>
      </c>
      <c r="F35" s="81" t="s">
        <v>281</v>
      </c>
      <c r="H35" s="370" t="str">
        <f>'UMPAN-BALIK'!B35</f>
        <v>5.1.1</v>
      </c>
      <c r="I35" s="394" t="str">
        <f>'UMPAN-BALIK'!C35&amp;""</f>
        <v xml:space="preserve">Pimpinan: Arahan pimpinan jarang ditindaklanjuti dengan baik dan progresnya jarang dilaporkan dengan tepat waktu.
</v>
      </c>
      <c r="J35" s="234"/>
    </row>
    <row r="36" spans="1:10" ht="27.95" x14ac:dyDescent="0.35">
      <c r="A36" s="234"/>
      <c r="B36" s="74" t="s">
        <v>169</v>
      </c>
      <c r="C36" s="82" t="s">
        <v>42</v>
      </c>
      <c r="E36" s="74" t="s">
        <v>169</v>
      </c>
      <c r="F36" s="82"/>
      <c r="H36" s="370" t="str">
        <f>'UMPAN-BALIK'!B36</f>
        <v>5.2</v>
      </c>
      <c r="I36" s="394" t="str">
        <f>'UMPAN-BALIK'!C36&amp;""</f>
        <v>Pimpinan: Selalu siap kapanpun pimpinan membutuhkan, yang bersangkutan siap membantu pimpinan meskipun di luar jam kerja.</v>
      </c>
      <c r="J36" s="234"/>
    </row>
    <row r="37" spans="1:10" ht="42" x14ac:dyDescent="0.35">
      <c r="A37" s="234"/>
      <c r="B37" s="74" t="s">
        <v>210</v>
      </c>
      <c r="C37" s="81" t="s">
        <v>201</v>
      </c>
      <c r="E37" s="74" t="s">
        <v>210</v>
      </c>
      <c r="F37" s="81"/>
      <c r="H37" s="370" t="str">
        <f>'UMPAN-BALIK'!B37</f>
        <v>5.2.1</v>
      </c>
      <c r="I37" s="394" t="str">
        <f>'UMPAN-BALIK'!C37&amp;""</f>
        <v>Pimpinan: Tidak siap kapanpun pimpinan membutuhkan, yang bersangkutan kurang responsif dalam membantu pimpinan meskipun di luar jam kerja.</v>
      </c>
      <c r="J37" s="234"/>
    </row>
    <row r="38" spans="1:10" ht="30.75" customHeight="1" x14ac:dyDescent="0.35">
      <c r="A38" s="234"/>
      <c r="B38" s="74" t="s">
        <v>170</v>
      </c>
      <c r="C38" s="82" t="s">
        <v>43</v>
      </c>
      <c r="E38" s="74" t="s">
        <v>170</v>
      </c>
      <c r="F38" s="82"/>
      <c r="H38" s="370" t="str">
        <f>'UMPAN-BALIK'!B38</f>
        <v>5.3</v>
      </c>
      <c r="I38" s="394" t="str">
        <f>'UMPAN-BALIK'!C38&amp;""</f>
        <v>0</v>
      </c>
      <c r="J38" s="234"/>
    </row>
    <row r="39" spans="1:10" ht="30.75" customHeight="1" x14ac:dyDescent="0.35">
      <c r="A39" s="234"/>
      <c r="B39" s="74" t="s">
        <v>211</v>
      </c>
      <c r="C39" s="81" t="s">
        <v>202</v>
      </c>
      <c r="E39" s="74" t="s">
        <v>211</v>
      </c>
      <c r="F39" s="81"/>
      <c r="H39" s="370" t="str">
        <f>'UMPAN-BALIK'!B39</f>
        <v>5.3.1</v>
      </c>
      <c r="I39" s="394" t="str">
        <f>'UMPAN-BALIK'!C39&amp;""</f>
        <v>0</v>
      </c>
      <c r="J39" s="234"/>
    </row>
    <row r="40" spans="1:10" s="372" customFormat="1" ht="30.75" customHeight="1" x14ac:dyDescent="0.3">
      <c r="A40" s="369"/>
      <c r="B40" s="370" t="s">
        <v>154</v>
      </c>
      <c r="C40" s="371" t="s">
        <v>44</v>
      </c>
      <c r="E40" s="370" t="s">
        <v>154</v>
      </c>
      <c r="F40" s="371" t="s">
        <v>44</v>
      </c>
      <c r="H40" s="370" t="str">
        <f>'UMPAN-BALIK'!B40</f>
        <v>6.</v>
      </c>
      <c r="I40" s="394" t="str">
        <f>'UMPAN-BALIK'!C40&amp;""</f>
        <v>Adaptif</v>
      </c>
      <c r="J40" s="369"/>
    </row>
    <row r="41" spans="1:10" ht="30.95" x14ac:dyDescent="0.35">
      <c r="A41" s="234"/>
      <c r="B41" s="74" t="s">
        <v>171</v>
      </c>
      <c r="C41" s="82" t="s">
        <v>45</v>
      </c>
      <c r="E41" s="74" t="s">
        <v>171</v>
      </c>
      <c r="F41" s="82" t="s">
        <v>152</v>
      </c>
      <c r="H41" s="370" t="str">
        <f>'UMPAN-BALIK'!B41</f>
        <v>6.1</v>
      </c>
      <c r="I41" s="394" t="str">
        <f>'UMPAN-BALIK'!C41&amp;""</f>
        <v>Pimpinan: antusias mempelajari hal baru terlihat dari upaya upaya yang bersangkutan ketika mendapat penugasan baru.</v>
      </c>
      <c r="J41" s="234"/>
    </row>
    <row r="42" spans="1:10" ht="30.95" x14ac:dyDescent="0.35">
      <c r="A42" s="234"/>
      <c r="B42" s="74" t="s">
        <v>212</v>
      </c>
      <c r="C42" s="81" t="s">
        <v>203</v>
      </c>
      <c r="E42" s="74" t="s">
        <v>212</v>
      </c>
      <c r="F42" s="81" t="s">
        <v>229</v>
      </c>
      <c r="H42" s="370" t="str">
        <f>'UMPAN-BALIK'!B42</f>
        <v>6.1.1</v>
      </c>
      <c r="I42" s="394" t="str">
        <f>'UMPAN-BALIK'!C42&amp;""</f>
        <v>Pimpinan: Kurang antusias mempelajari hal baru terlihat dari upaya upaya yang bersangkutan ketika mendapat penugasan baru.</v>
      </c>
      <c r="J42" s="234"/>
    </row>
    <row r="43" spans="1:10" ht="27.95" x14ac:dyDescent="0.35">
      <c r="A43" s="234"/>
      <c r="B43" s="74" t="s">
        <v>172</v>
      </c>
      <c r="C43" s="82" t="s">
        <v>46</v>
      </c>
      <c r="E43" s="74" t="s">
        <v>172</v>
      </c>
      <c r="F43" s="82"/>
      <c r="H43" s="370" t="str">
        <f>'UMPAN-BALIK'!B43</f>
        <v>6.2</v>
      </c>
      <c r="I43" s="394" t="str">
        <f>'UMPAN-BALIK'!C43&amp;""</f>
        <v>Pimpinan: Ketika ada perubahan arah strategi dari pimpinan langsung ditindaklanjuti dengan penyesuaian dan resisten.</v>
      </c>
      <c r="J43" s="234"/>
    </row>
    <row r="44" spans="1:10" ht="30.75" customHeight="1" x14ac:dyDescent="0.35">
      <c r="A44" s="234"/>
      <c r="B44" s="74" t="s">
        <v>213</v>
      </c>
      <c r="C44" s="81" t="s">
        <v>204</v>
      </c>
      <c r="E44" s="74" t="s">
        <v>213</v>
      </c>
      <c r="F44" s="81"/>
      <c r="H44" s="370" t="str">
        <f>'UMPAN-BALIK'!B44</f>
        <v>6.2.1</v>
      </c>
      <c r="I44" s="394" t="str">
        <f>'UMPAN-BALIK'!C44&amp;""</f>
        <v>Pimpinan: Ketika ada perubahan arah strategi dari pimpinan, tidak langsung ditindaklanjuti dengan penyesuaian dan tidak resisten.</v>
      </c>
      <c r="J44" s="234"/>
    </row>
    <row r="45" spans="1:10" ht="30.75" customHeight="1" x14ac:dyDescent="0.25">
      <c r="A45" s="234"/>
      <c r="B45" s="74" t="s">
        <v>173</v>
      </c>
      <c r="C45" s="82" t="s">
        <v>47</v>
      </c>
      <c r="E45" s="74" t="s">
        <v>173</v>
      </c>
      <c r="F45" s="82"/>
      <c r="H45" s="370" t="str">
        <f>'UMPAN-BALIK'!B45</f>
        <v>6.3</v>
      </c>
      <c r="I45" s="394" t="str">
        <f>'UMPAN-BALIK'!C45&amp;""</f>
        <v>0</v>
      </c>
      <c r="J45" s="234"/>
    </row>
    <row r="46" spans="1:10" ht="30.75" customHeight="1" x14ac:dyDescent="0.25">
      <c r="A46" s="234"/>
      <c r="B46" s="74" t="s">
        <v>214</v>
      </c>
      <c r="C46" s="81" t="s">
        <v>205</v>
      </c>
      <c r="E46" s="74" t="s">
        <v>214</v>
      </c>
      <c r="F46" s="81"/>
      <c r="H46" s="370" t="str">
        <f>'UMPAN-BALIK'!B46</f>
        <v>6.3.1</v>
      </c>
      <c r="I46" s="394" t="str">
        <f>'UMPAN-BALIK'!C46&amp;""</f>
        <v>0</v>
      </c>
      <c r="J46" s="234"/>
    </row>
    <row r="47" spans="1:10" s="372" customFormat="1" ht="30.75" customHeight="1" x14ac:dyDescent="0.25">
      <c r="A47" s="369"/>
      <c r="B47" s="370" t="s">
        <v>155</v>
      </c>
      <c r="C47" s="371" t="s">
        <v>48</v>
      </c>
      <c r="E47" s="370" t="s">
        <v>155</v>
      </c>
      <c r="F47" s="371" t="s">
        <v>48</v>
      </c>
      <c r="H47" s="370" t="str">
        <f>'UMPAN-BALIK'!B47</f>
        <v>7.</v>
      </c>
      <c r="I47" s="394" t="str">
        <f>'UMPAN-BALIK'!C47&amp;""</f>
        <v>Kolaboratif</v>
      </c>
      <c r="J47" s="369"/>
    </row>
    <row r="48" spans="1:10" ht="28.5" x14ac:dyDescent="0.25">
      <c r="A48" s="234"/>
      <c r="B48" s="74" t="s">
        <v>174</v>
      </c>
      <c r="C48" s="82" t="s">
        <v>49</v>
      </c>
      <c r="E48" s="74" t="s">
        <v>174</v>
      </c>
      <c r="F48" s="82" t="s">
        <v>225</v>
      </c>
      <c r="H48" s="370" t="str">
        <f>'UMPAN-BALIK'!B48</f>
        <v>7.1</v>
      </c>
      <c r="I48" s="394" t="str">
        <f>'UMPAN-BALIK'!C48&amp;""</f>
        <v>Teman sejawat: Sangat terbuka terhadap masukan dari teman sejawat karena ketika dialog selalu 2 arah.</v>
      </c>
      <c r="J48" s="234"/>
    </row>
    <row r="49" spans="1:10" ht="30.75" customHeight="1" x14ac:dyDescent="0.25">
      <c r="A49" s="234"/>
      <c r="B49" s="74" t="s">
        <v>215</v>
      </c>
      <c r="C49" s="81" t="s">
        <v>206</v>
      </c>
      <c r="E49" s="74" t="s">
        <v>215</v>
      </c>
      <c r="F49" s="81" t="s">
        <v>226</v>
      </c>
      <c r="H49" s="370" t="str">
        <f>'UMPAN-BALIK'!B49</f>
        <v>7.1.1</v>
      </c>
      <c r="I49" s="394" t="str">
        <f>'UMPAN-BALIK'!C49&amp;""</f>
        <v>Teman sejawat: Kurang terbuka terhadap masukan dari teman sejawat karena ketika dialog selalu menggunakan konsepnya sendiri.</v>
      </c>
      <c r="J49" s="234"/>
    </row>
    <row r="50" spans="1:10" ht="30.75" customHeight="1" x14ac:dyDescent="0.25">
      <c r="A50" s="234"/>
      <c r="B50" s="74" t="s">
        <v>175</v>
      </c>
      <c r="C50" s="82" t="s">
        <v>50</v>
      </c>
      <c r="E50" s="74" t="s">
        <v>175</v>
      </c>
      <c r="F50" s="82" t="s">
        <v>228</v>
      </c>
      <c r="H50" s="370" t="str">
        <f>'UMPAN-BALIK'!B50</f>
        <v>7.2</v>
      </c>
      <c r="I50" s="394" t="str">
        <f>'UMPAN-BALIK'!C50&amp;""</f>
        <v>0</v>
      </c>
      <c r="J50" s="234"/>
    </row>
    <row r="51" spans="1:10" ht="30.75" customHeight="1" x14ac:dyDescent="0.25">
      <c r="A51" s="234"/>
      <c r="B51" s="74" t="s">
        <v>216</v>
      </c>
      <c r="C51" s="81" t="s">
        <v>207</v>
      </c>
      <c r="E51" s="74" t="s">
        <v>216</v>
      </c>
      <c r="F51" s="81" t="s">
        <v>227</v>
      </c>
      <c r="H51" s="370" t="str">
        <f>'UMPAN-BALIK'!B51</f>
        <v>7.2.1</v>
      </c>
      <c r="I51" s="394" t="str">
        <f>'UMPAN-BALIK'!C51&amp;""</f>
        <v>0</v>
      </c>
      <c r="J51" s="234"/>
    </row>
    <row r="52" spans="1:10" ht="30.75" customHeight="1" x14ac:dyDescent="0.25">
      <c r="A52" s="234"/>
      <c r="B52" s="74" t="s">
        <v>176</v>
      </c>
      <c r="C52" s="82" t="s">
        <v>51</v>
      </c>
      <c r="E52" s="74" t="s">
        <v>176</v>
      </c>
      <c r="F52" s="82"/>
      <c r="H52" s="370" t="str">
        <f>'UMPAN-BALIK'!B52</f>
        <v>7.3</v>
      </c>
      <c r="I52" s="394" t="str">
        <f>'UMPAN-BALIK'!C52&amp;""</f>
        <v>0</v>
      </c>
      <c r="J52" s="234"/>
    </row>
    <row r="53" spans="1:10" ht="30.75" customHeight="1" x14ac:dyDescent="0.25">
      <c r="A53" s="234"/>
      <c r="B53" s="74" t="s">
        <v>217</v>
      </c>
      <c r="C53" s="81" t="s">
        <v>208</v>
      </c>
      <c r="E53" s="74" t="s">
        <v>217</v>
      </c>
      <c r="F53" s="81"/>
      <c r="H53" s="370" t="str">
        <f>'UMPAN-BALIK'!B53</f>
        <v>7.3.1</v>
      </c>
      <c r="I53" s="394" t="str">
        <f>'UMPAN-BALIK'!C53&amp;""</f>
        <v>0</v>
      </c>
      <c r="J53" s="234"/>
    </row>
    <row r="54" spans="1:10" x14ac:dyDescent="0.25">
      <c r="A54" s="234"/>
      <c r="B54" s="234"/>
      <c r="C54" s="234"/>
      <c r="D54" s="234"/>
      <c r="E54" s="234"/>
      <c r="F54" s="234"/>
      <c r="G54" s="234"/>
      <c r="H54" s="234"/>
      <c r="I54" s="234"/>
      <c r="J54" s="234"/>
    </row>
  </sheetData>
  <sheetProtection sheet="1" objects="1" scenarios="1"/>
  <protectedRanges>
    <protectedRange sqref="C5:C53 F5:F53 I5:I11" name="Range1"/>
  </protectedRanges>
  <hyperlinks>
    <hyperlink ref="B1" location="HOME!A1" display="HOME"/>
  </hyperlinks>
  <printOptions horizontalCentered="1"/>
  <pageMargins left="0.59055118110236227" right="0.59055118110236227" top="0.78740157480314965" bottom="0.59055118110236227" header="0.31496062992125984" footer="0.19685039370078741"/>
  <pageSetup paperSize="9" scale="60" orientation="portrait" horizontalDpi="4294967293" verticalDpi="0" r:id="rId1"/>
  <headerFooter>
    <oddFooter>&amp;CPERILAKU KERJA-EKSPETASI-UMPAN BALIK&amp;R&amp;P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P54"/>
  <sheetViews>
    <sheetView showGridLines="0" zoomScaleNormal="100" workbookViewId="0">
      <pane xSplit="2" ySplit="4" topLeftCell="E26" activePane="bottomRight" state="frozen"/>
      <selection pane="topRight" activeCell="C1" sqref="C1"/>
      <selection pane="bottomLeft" activeCell="A4" sqref="A4"/>
      <selection pane="bottomRight" activeCell="K1" sqref="K1"/>
    </sheetView>
  </sheetViews>
  <sheetFormatPr defaultColWidth="9.140625" defaultRowHeight="15.75" x14ac:dyDescent="0.25"/>
  <cols>
    <col min="1" max="1" width="4.5703125" style="63" customWidth="1"/>
    <col min="2" max="2" width="7.42578125" style="71" hidden="1" customWidth="1"/>
    <col min="3" max="3" width="58.7109375" style="84" hidden="1" customWidth="1"/>
    <col min="4" max="4" width="4.5703125" style="63" hidden="1" customWidth="1"/>
    <col min="5" max="5" width="7.42578125" style="71" customWidth="1"/>
    <col min="6" max="6" width="58.7109375" style="84" customWidth="1"/>
    <col min="7" max="7" width="4.5703125" style="63" customWidth="1"/>
    <col min="8" max="8" width="7.42578125" style="71" customWidth="1"/>
    <col min="9" max="9" width="58.7109375" style="84" customWidth="1"/>
    <col min="10" max="10" width="4.5703125" style="63" customWidth="1"/>
    <col min="11" max="11" width="7.42578125" style="71" customWidth="1"/>
    <col min="12" max="12" width="58.7109375" style="84" customWidth="1"/>
    <col min="13" max="13" width="4.5703125" style="63" customWidth="1"/>
    <col min="14" max="14" width="7.42578125" style="71" hidden="1" customWidth="1"/>
    <col min="15" max="15" width="62.7109375" style="84" hidden="1" customWidth="1"/>
    <col min="16" max="16" width="4.5703125" style="63" hidden="1" customWidth="1"/>
    <col min="17" max="16384" width="9.140625" style="63"/>
  </cols>
  <sheetData>
    <row r="1" spans="1:16" ht="17.45" x14ac:dyDescent="0.35">
      <c r="A1" s="234"/>
      <c r="B1" s="72" t="s">
        <v>255</v>
      </c>
      <c r="C1" s="392" t="str">
        <f>HOME!E1</f>
        <v>KEPALA SEKOLAH</v>
      </c>
      <c r="D1" s="234"/>
      <c r="E1" s="72" t="s">
        <v>255</v>
      </c>
      <c r="F1" s="392" t="s">
        <v>143</v>
      </c>
      <c r="G1" s="234"/>
      <c r="H1" s="72" t="s">
        <v>255</v>
      </c>
      <c r="I1" s="392" t="s">
        <v>337</v>
      </c>
      <c r="J1" s="234"/>
      <c r="K1" s="72" t="s">
        <v>255</v>
      </c>
      <c r="L1" s="392" t="s">
        <v>345</v>
      </c>
      <c r="M1" s="234"/>
      <c r="N1" s="72" t="s">
        <v>255</v>
      </c>
      <c r="O1" s="392" t="s">
        <v>357</v>
      </c>
      <c r="P1" s="234"/>
    </row>
    <row r="2" spans="1:16" x14ac:dyDescent="0.25">
      <c r="A2" s="234"/>
      <c r="C2" s="84" t="s">
        <v>364</v>
      </c>
      <c r="D2" s="234"/>
      <c r="F2" s="84" t="s">
        <v>364</v>
      </c>
      <c r="G2" s="234"/>
      <c r="I2" s="84" t="s">
        <v>364</v>
      </c>
      <c r="J2" s="234"/>
      <c r="L2" s="84" t="s">
        <v>364</v>
      </c>
      <c r="M2" s="234"/>
      <c r="O2" s="84" t="s">
        <v>352</v>
      </c>
      <c r="P2" s="234"/>
    </row>
    <row r="3" spans="1:16" ht="15.6" x14ac:dyDescent="0.35">
      <c r="A3" s="234"/>
      <c r="C3" s="333" t="s">
        <v>286</v>
      </c>
      <c r="D3" s="234"/>
      <c r="F3" s="333" t="s">
        <v>286</v>
      </c>
      <c r="G3" s="234"/>
      <c r="I3" s="333" t="s">
        <v>286</v>
      </c>
      <c r="J3" s="234"/>
      <c r="L3" s="333" t="s">
        <v>286</v>
      </c>
      <c r="M3" s="234"/>
      <c r="O3" s="333" t="s">
        <v>286</v>
      </c>
      <c r="P3" s="234"/>
    </row>
    <row r="4" spans="1:16" ht="15.6" x14ac:dyDescent="0.35">
      <c r="A4" s="234"/>
      <c r="B4" s="83" t="s">
        <v>147</v>
      </c>
      <c r="C4" s="85" t="s">
        <v>149</v>
      </c>
      <c r="D4" s="234"/>
      <c r="E4" s="83" t="s">
        <v>147</v>
      </c>
      <c r="F4" s="85" t="s">
        <v>149</v>
      </c>
      <c r="G4" s="234"/>
      <c r="H4" s="83" t="s">
        <v>147</v>
      </c>
      <c r="I4" s="85" t="s">
        <v>149</v>
      </c>
      <c r="J4" s="234"/>
      <c r="K4" s="83" t="s">
        <v>147</v>
      </c>
      <c r="L4" s="85" t="s">
        <v>149</v>
      </c>
      <c r="M4" s="234"/>
      <c r="N4" s="83" t="s">
        <v>147</v>
      </c>
      <c r="O4" s="85" t="s">
        <v>149</v>
      </c>
      <c r="P4" s="234"/>
    </row>
    <row r="5" spans="1:16" s="372" customFormat="1" ht="15" x14ac:dyDescent="0.3">
      <c r="A5" s="369"/>
      <c r="B5" s="370" t="s">
        <v>76</v>
      </c>
      <c r="C5" s="386" t="str">
        <f t="shared" ref="C5" si="0">IF($C$1="PENGAWAS",F5,IF($C$1="KEPALA SEKOLAH",I5,IF($C$1="GURU",L5,"")))</f>
        <v>Berorientasi Pelayanan</v>
      </c>
      <c r="D5" s="369"/>
      <c r="E5" s="370" t="s">
        <v>76</v>
      </c>
      <c r="F5" s="371" t="s">
        <v>148</v>
      </c>
      <c r="G5" s="369"/>
      <c r="H5" s="370" t="s">
        <v>76</v>
      </c>
      <c r="I5" s="371" t="s">
        <v>148</v>
      </c>
      <c r="J5" s="369"/>
      <c r="K5" s="370" t="s">
        <v>76</v>
      </c>
      <c r="L5" s="371" t="s">
        <v>148</v>
      </c>
      <c r="M5" s="369"/>
      <c r="N5" s="370" t="s">
        <v>76</v>
      </c>
      <c r="O5" s="371" t="s">
        <v>148</v>
      </c>
      <c r="P5" s="369"/>
    </row>
    <row r="6" spans="1:16" ht="62.1" x14ac:dyDescent="0.35">
      <c r="A6" s="234"/>
      <c r="B6" s="74" t="s">
        <v>156</v>
      </c>
      <c r="C6" s="82" t="str">
        <f>IF($C$1="PENGAWAS",F6,IF($C$1="KEPALA SEKOLAH",I6,IF($C$1="GURU",L6,"")))</f>
        <v>Stakeholder terkait: Ramah dalam memberikan pelayanan kepada stakeholder (komite sekolah, dinas terkait), semua warga sekolah (guru dan tenaga kependidikan lainnya).</v>
      </c>
      <c r="D6" s="234"/>
      <c r="E6" s="74" t="s">
        <v>156</v>
      </c>
      <c r="F6" s="82" t="s">
        <v>313</v>
      </c>
      <c r="G6" s="234"/>
      <c r="H6" s="74" t="s">
        <v>156</v>
      </c>
      <c r="I6" s="82" t="s">
        <v>358</v>
      </c>
      <c r="J6" s="234"/>
      <c r="K6" s="74" t="s">
        <v>156</v>
      </c>
      <c r="L6" s="82" t="s">
        <v>360</v>
      </c>
      <c r="M6" s="234"/>
      <c r="N6" s="74" t="s">
        <v>156</v>
      </c>
      <c r="O6" s="82" t="s">
        <v>362</v>
      </c>
      <c r="P6" s="234"/>
    </row>
    <row r="7" spans="1:16" ht="62.1" x14ac:dyDescent="0.35">
      <c r="A7" s="234"/>
      <c r="B7" s="74" t="s">
        <v>177</v>
      </c>
      <c r="C7" s="81" t="str">
        <f>IF($C$1="PENGAWAS",F7,IF($C$1="KEPALA SEKOLAH",I7,IF($C$1="GURU",L7,"")))</f>
        <v>Stakeholder terkait: Kurang ramah dalam memberikan pelayanan kepada stakeholder (komite sekolah, dinas terkait), semua warga sekolah (guru dan tenaga kependidikan lainnya).</v>
      </c>
      <c r="D7" s="234"/>
      <c r="E7" s="74" t="s">
        <v>177</v>
      </c>
      <c r="F7" s="81" t="s">
        <v>314</v>
      </c>
      <c r="G7" s="234"/>
      <c r="H7" s="74" t="s">
        <v>177</v>
      </c>
      <c r="I7" s="81" t="s">
        <v>359</v>
      </c>
      <c r="J7" s="234"/>
      <c r="K7" s="74" t="s">
        <v>177</v>
      </c>
      <c r="L7" s="81" t="s">
        <v>361</v>
      </c>
      <c r="M7" s="234"/>
      <c r="N7" s="74" t="s">
        <v>177</v>
      </c>
      <c r="O7" s="81" t="s">
        <v>363</v>
      </c>
      <c r="P7" s="234"/>
    </row>
    <row r="8" spans="1:16" ht="30.95" x14ac:dyDescent="0.35">
      <c r="A8" s="234"/>
      <c r="B8" s="74" t="s">
        <v>157</v>
      </c>
      <c r="C8" s="82" t="str">
        <f>IF($C$1="PENGAWAS",F8,IF($C$1="KEPALA SEKOLAH",I8,IF($C$1="GURU",L8,"")))</f>
        <v>Pimpinan : Yang bersangkutan dapat diandalkan ketika ada hal-hal yang membutuhkan penyelesaian segera.</v>
      </c>
      <c r="D8" s="234"/>
      <c r="E8" s="74" t="s">
        <v>157</v>
      </c>
      <c r="F8" s="82" t="s">
        <v>287</v>
      </c>
      <c r="G8" s="234"/>
      <c r="H8" s="74" t="s">
        <v>157</v>
      </c>
      <c r="I8" s="82" t="s">
        <v>287</v>
      </c>
      <c r="J8" s="234"/>
      <c r="K8" s="74" t="s">
        <v>157</v>
      </c>
      <c r="L8" s="82" t="s">
        <v>287</v>
      </c>
      <c r="M8" s="234"/>
      <c r="N8" s="74" t="s">
        <v>157</v>
      </c>
      <c r="O8" s="82" t="s">
        <v>287</v>
      </c>
      <c r="P8" s="234"/>
    </row>
    <row r="9" spans="1:16" ht="30.95" x14ac:dyDescent="0.35">
      <c r="A9" s="234"/>
      <c r="B9" s="74" t="s">
        <v>181</v>
      </c>
      <c r="C9" s="81" t="str">
        <f>IF($C$1="PENGAWAS",F9,IF($C$1="KEPALA SEKOLAH",I9,IF($C$1="GURU",L9,"")))</f>
        <v>Pimpinan : Yang bersangkutan kurang dapat diandalkan ketika ada hal-hal yang membutuhkan penyelesaian segera.</v>
      </c>
      <c r="D9" s="234"/>
      <c r="E9" s="74" t="s">
        <v>181</v>
      </c>
      <c r="F9" s="81" t="s">
        <v>288</v>
      </c>
      <c r="G9" s="234"/>
      <c r="H9" s="74" t="s">
        <v>181</v>
      </c>
      <c r="I9" s="81" t="s">
        <v>288</v>
      </c>
      <c r="J9" s="234"/>
      <c r="K9" s="74" t="s">
        <v>181</v>
      </c>
      <c r="L9" s="81" t="s">
        <v>288</v>
      </c>
      <c r="M9" s="234"/>
      <c r="N9" s="74" t="s">
        <v>181</v>
      </c>
      <c r="O9" s="81" t="s">
        <v>288</v>
      </c>
      <c r="P9" s="234"/>
    </row>
    <row r="10" spans="1:16" ht="15.6" x14ac:dyDescent="0.35">
      <c r="A10" s="234"/>
      <c r="B10" s="74" t="s">
        <v>158</v>
      </c>
      <c r="C10" s="82"/>
      <c r="D10" s="234"/>
      <c r="E10" s="74" t="s">
        <v>158</v>
      </c>
      <c r="F10" s="82"/>
      <c r="G10" s="234"/>
      <c r="H10" s="74" t="s">
        <v>158</v>
      </c>
      <c r="I10" s="82"/>
      <c r="J10" s="234"/>
      <c r="K10" s="74" t="s">
        <v>158</v>
      </c>
      <c r="L10" s="82"/>
      <c r="M10" s="234"/>
      <c r="N10" s="74" t="s">
        <v>158</v>
      </c>
      <c r="O10" s="82"/>
      <c r="P10" s="234"/>
    </row>
    <row r="11" spans="1:16" ht="15.6" x14ac:dyDescent="0.35">
      <c r="A11" s="234"/>
      <c r="B11" s="74" t="s">
        <v>182</v>
      </c>
      <c r="C11" s="81"/>
      <c r="D11" s="234"/>
      <c r="E11" s="74" t="s">
        <v>182</v>
      </c>
      <c r="F11" s="81"/>
      <c r="G11" s="234"/>
      <c r="H11" s="74" t="s">
        <v>182</v>
      </c>
      <c r="I11" s="81"/>
      <c r="J11" s="234"/>
      <c r="K11" s="74" t="s">
        <v>182</v>
      </c>
      <c r="L11" s="81"/>
      <c r="M11" s="234"/>
      <c r="N11" s="74" t="s">
        <v>182</v>
      </c>
      <c r="O11" s="81"/>
      <c r="P11" s="234"/>
    </row>
    <row r="12" spans="1:16" s="372" customFormat="1" ht="30.75" customHeight="1" x14ac:dyDescent="0.3">
      <c r="A12" s="369"/>
      <c r="B12" s="370" t="s">
        <v>78</v>
      </c>
      <c r="C12" s="386" t="str">
        <f t="shared" ref="C12" si="1">IF($C$1="PENGAWAS",F12,IF($C$1="KEPALA SEKOLAH",I12,IF($C$1="GURU",L12,"")))</f>
        <v>Akuntabel</v>
      </c>
      <c r="D12" s="369"/>
      <c r="E12" s="370" t="s">
        <v>78</v>
      </c>
      <c r="F12" s="371" t="s">
        <v>30</v>
      </c>
      <c r="G12" s="369"/>
      <c r="H12" s="370" t="s">
        <v>78</v>
      </c>
      <c r="I12" s="371" t="s">
        <v>30</v>
      </c>
      <c r="J12" s="369"/>
      <c r="K12" s="370" t="s">
        <v>78</v>
      </c>
      <c r="L12" s="371" t="s">
        <v>30</v>
      </c>
      <c r="M12" s="369"/>
      <c r="N12" s="370" t="s">
        <v>78</v>
      </c>
      <c r="O12" s="371" t="s">
        <v>30</v>
      </c>
      <c r="P12" s="369"/>
    </row>
    <row r="13" spans="1:16" ht="30.75" customHeight="1" x14ac:dyDescent="0.35">
      <c r="A13" s="234"/>
      <c r="B13" s="74" t="s">
        <v>159</v>
      </c>
      <c r="C13" s="82" t="str">
        <f>IF($C$1="PENGAWAS",F13,IF($C$1="KEPALA SEKOLAH",I13,IF($C$1="GURU",L13,"")))</f>
        <v>Teman sejawat: Selalu menunjukkan sikap bertanggung jawab meskipun ada kesalahan yang dilakukan anggota timnya.</v>
      </c>
      <c r="D13" s="234"/>
      <c r="E13" s="74" t="s">
        <v>159</v>
      </c>
      <c r="F13" s="82" t="s">
        <v>325</v>
      </c>
      <c r="G13" s="234"/>
      <c r="H13" s="74" t="s">
        <v>159</v>
      </c>
      <c r="I13" s="82" t="s">
        <v>325</v>
      </c>
      <c r="J13" s="234"/>
      <c r="K13" s="74" t="s">
        <v>159</v>
      </c>
      <c r="L13" s="82" t="s">
        <v>325</v>
      </c>
      <c r="M13" s="234"/>
      <c r="N13" s="74" t="s">
        <v>159</v>
      </c>
      <c r="O13" s="82" t="s">
        <v>325</v>
      </c>
      <c r="P13" s="234"/>
    </row>
    <row r="14" spans="1:16" ht="30.75" customHeight="1" x14ac:dyDescent="0.35">
      <c r="A14" s="234"/>
      <c r="B14" s="74" t="s">
        <v>184</v>
      </c>
      <c r="C14" s="81" t="str">
        <f>IF($C$1="PENGAWAS",F14,IF($C$1="KEPALA SEKOLAH",I14,IF($C$1="GURU",L14,"")))</f>
        <v>Teman sejawat: Kurang menunjukkan sikap bertanggung jawab terlebih jika ada kesalahan yang dilakukan rekan timnya.</v>
      </c>
      <c r="D14" s="234"/>
      <c r="E14" s="74" t="s">
        <v>184</v>
      </c>
      <c r="F14" s="81" t="s">
        <v>326</v>
      </c>
      <c r="G14" s="234"/>
      <c r="H14" s="74" t="s">
        <v>184</v>
      </c>
      <c r="I14" s="81" t="s">
        <v>326</v>
      </c>
      <c r="J14" s="234"/>
      <c r="K14" s="74" t="s">
        <v>184</v>
      </c>
      <c r="L14" s="81" t="s">
        <v>326</v>
      </c>
      <c r="M14" s="234"/>
      <c r="N14" s="74" t="s">
        <v>184</v>
      </c>
      <c r="O14" s="81" t="s">
        <v>326</v>
      </c>
      <c r="P14" s="234"/>
    </row>
    <row r="15" spans="1:16" ht="30.75" customHeight="1" x14ac:dyDescent="0.35">
      <c r="A15" s="234"/>
      <c r="B15" s="74" t="s">
        <v>160</v>
      </c>
      <c r="C15" s="82" t="s">
        <v>285</v>
      </c>
      <c r="D15" s="234"/>
      <c r="E15" s="74" t="s">
        <v>160</v>
      </c>
      <c r="F15" s="82" t="s">
        <v>285</v>
      </c>
      <c r="G15" s="234"/>
      <c r="H15" s="74" t="s">
        <v>160</v>
      </c>
      <c r="I15" s="82" t="s">
        <v>285</v>
      </c>
      <c r="J15" s="234"/>
      <c r="K15" s="74" t="s">
        <v>160</v>
      </c>
      <c r="L15" s="82" t="s">
        <v>285</v>
      </c>
      <c r="M15" s="234"/>
      <c r="N15" s="74" t="s">
        <v>160</v>
      </c>
      <c r="O15" s="82" t="s">
        <v>285</v>
      </c>
      <c r="P15" s="234"/>
    </row>
    <row r="16" spans="1:16" ht="30.75" customHeight="1" x14ac:dyDescent="0.35">
      <c r="A16" s="234"/>
      <c r="B16" s="74" t="s">
        <v>185</v>
      </c>
      <c r="C16" s="81" t="str">
        <f t="shared" ref="C16:C18" si="2">IF($C$1="PENGAWAS",F16,IF($C$1="KEPALA SEKOLAH",I16,IF($C$1="GURU",L16,"")))</f>
        <v>Pimpinan : Yang bersangkutan kurang atau tidak merespon dengan baik dan tidak mengambil alternatif strategi.</v>
      </c>
      <c r="D16" s="234"/>
      <c r="E16" s="74" t="s">
        <v>185</v>
      </c>
      <c r="F16" s="81" t="s">
        <v>289</v>
      </c>
      <c r="G16" s="234"/>
      <c r="H16" s="74" t="s">
        <v>185</v>
      </c>
      <c r="I16" s="81" t="s">
        <v>289</v>
      </c>
      <c r="J16" s="234"/>
      <c r="K16" s="74" t="s">
        <v>185</v>
      </c>
      <c r="L16" s="81" t="s">
        <v>289</v>
      </c>
      <c r="M16" s="234"/>
      <c r="N16" s="74" t="s">
        <v>185</v>
      </c>
      <c r="O16" s="81" t="s">
        <v>289</v>
      </c>
      <c r="P16" s="234"/>
    </row>
    <row r="17" spans="1:16" ht="30.75" customHeight="1" x14ac:dyDescent="0.35">
      <c r="A17" s="234"/>
      <c r="B17" s="74" t="s">
        <v>161</v>
      </c>
      <c r="C17" s="82">
        <f t="shared" si="2"/>
        <v>0</v>
      </c>
      <c r="D17" s="234"/>
      <c r="E17" s="74" t="s">
        <v>161</v>
      </c>
      <c r="F17" s="82"/>
      <c r="G17" s="234"/>
      <c r="H17" s="74" t="s">
        <v>161</v>
      </c>
      <c r="I17" s="82"/>
      <c r="J17" s="234"/>
      <c r="K17" s="74" t="s">
        <v>161</v>
      </c>
      <c r="L17" s="82"/>
      <c r="M17" s="234"/>
      <c r="N17" s="74" t="s">
        <v>161</v>
      </c>
      <c r="O17" s="82"/>
      <c r="P17" s="234"/>
    </row>
    <row r="18" spans="1:16" ht="30.75" customHeight="1" x14ac:dyDescent="0.35">
      <c r="A18" s="234"/>
      <c r="B18" s="74" t="s">
        <v>186</v>
      </c>
      <c r="C18" s="81">
        <f t="shared" si="2"/>
        <v>0</v>
      </c>
      <c r="D18" s="234"/>
      <c r="E18" s="74" t="s">
        <v>186</v>
      </c>
      <c r="F18" s="81"/>
      <c r="G18" s="234"/>
      <c r="H18" s="74" t="s">
        <v>186</v>
      </c>
      <c r="I18" s="81"/>
      <c r="J18" s="234"/>
      <c r="K18" s="74" t="s">
        <v>186</v>
      </c>
      <c r="L18" s="81"/>
      <c r="M18" s="234"/>
      <c r="N18" s="74" t="s">
        <v>186</v>
      </c>
      <c r="O18" s="81"/>
      <c r="P18" s="234"/>
    </row>
    <row r="19" spans="1:16" s="372" customFormat="1" ht="30.75" customHeight="1" x14ac:dyDescent="0.3">
      <c r="A19" s="369"/>
      <c r="B19" s="370" t="s">
        <v>79</v>
      </c>
      <c r="C19" s="386" t="str">
        <f t="shared" ref="C19:C53" si="3">IF($C$1="PENGAWAS",F19,IF($C$1="KEPALA SEKOLAH",I19,IF($C$1="GURU",L19,"")))</f>
        <v>Kompeten</v>
      </c>
      <c r="D19" s="369"/>
      <c r="E19" s="370" t="s">
        <v>79</v>
      </c>
      <c r="F19" s="371" t="s">
        <v>34</v>
      </c>
      <c r="G19" s="369"/>
      <c r="H19" s="370" t="s">
        <v>79</v>
      </c>
      <c r="I19" s="371" t="s">
        <v>34</v>
      </c>
      <c r="J19" s="369"/>
      <c r="K19" s="370" t="s">
        <v>79</v>
      </c>
      <c r="L19" s="371" t="s">
        <v>34</v>
      </c>
      <c r="M19" s="369"/>
      <c r="N19" s="370" t="s">
        <v>79</v>
      </c>
      <c r="O19" s="371" t="s">
        <v>34</v>
      </c>
      <c r="P19" s="369"/>
    </row>
    <row r="20" spans="1:16" ht="30.95" x14ac:dyDescent="0.35">
      <c r="A20" s="234"/>
      <c r="B20" s="74" t="s">
        <v>162</v>
      </c>
      <c r="C20" s="82" t="str">
        <f t="shared" si="3"/>
        <v>Pimpinan: Memperhatikan pengembangan kompetensi dan selalu memberikan feedback kepada teman dan pimpinan.</v>
      </c>
      <c r="D20" s="234"/>
      <c r="E20" s="74" t="s">
        <v>162</v>
      </c>
      <c r="F20" s="82" t="s">
        <v>291</v>
      </c>
      <c r="G20" s="234"/>
      <c r="H20" s="74" t="s">
        <v>162</v>
      </c>
      <c r="I20" s="82" t="s">
        <v>291</v>
      </c>
      <c r="J20" s="234"/>
      <c r="K20" s="74" t="s">
        <v>162</v>
      </c>
      <c r="L20" s="82" t="s">
        <v>291</v>
      </c>
      <c r="M20" s="234"/>
      <c r="N20" s="74" t="s">
        <v>162</v>
      </c>
      <c r="O20" s="82" t="s">
        <v>291</v>
      </c>
      <c r="P20" s="234"/>
    </row>
    <row r="21" spans="1:16" ht="30.75" customHeight="1" x14ac:dyDescent="0.35">
      <c r="A21" s="234"/>
      <c r="B21" s="74" t="s">
        <v>191</v>
      </c>
      <c r="C21" s="81" t="str">
        <f t="shared" si="3"/>
        <v xml:space="preserve">Pimpinan: Kurang memperhatikan pengembangan kompetensi dan jarang memberikan feedback kepada teman atau pimpinan.
</v>
      </c>
      <c r="D21" s="234"/>
      <c r="E21" s="74" t="s">
        <v>191</v>
      </c>
      <c r="F21" s="81" t="s">
        <v>290</v>
      </c>
      <c r="G21" s="234"/>
      <c r="H21" s="74" t="s">
        <v>191</v>
      </c>
      <c r="I21" s="81" t="s">
        <v>290</v>
      </c>
      <c r="J21" s="234"/>
      <c r="K21" s="74" t="s">
        <v>191</v>
      </c>
      <c r="L21" s="81" t="s">
        <v>290</v>
      </c>
      <c r="M21" s="234"/>
      <c r="N21" s="74" t="s">
        <v>191</v>
      </c>
      <c r="O21" s="81" t="s">
        <v>290</v>
      </c>
      <c r="P21" s="234"/>
    </row>
    <row r="22" spans="1:16" ht="30.75" customHeight="1" x14ac:dyDescent="0.35">
      <c r="A22" s="234"/>
      <c r="B22" s="74" t="s">
        <v>163</v>
      </c>
      <c r="C22" s="82" t="str">
        <f t="shared" si="3"/>
        <v>Pimpinan: Tugas dari pimpinan hampir selalu dikerjakan dengan baik</v>
      </c>
      <c r="D22" s="234"/>
      <c r="E22" s="74" t="s">
        <v>163</v>
      </c>
      <c r="F22" s="82" t="s">
        <v>327</v>
      </c>
      <c r="G22" s="234"/>
      <c r="H22" s="74" t="s">
        <v>163</v>
      </c>
      <c r="I22" s="82" t="s">
        <v>327</v>
      </c>
      <c r="J22" s="234"/>
      <c r="K22" s="74" t="s">
        <v>163</v>
      </c>
      <c r="L22" s="82" t="s">
        <v>327</v>
      </c>
      <c r="M22" s="234"/>
      <c r="N22" s="74" t="s">
        <v>163</v>
      </c>
      <c r="O22" s="82" t="s">
        <v>327</v>
      </c>
      <c r="P22" s="234"/>
    </row>
    <row r="23" spans="1:16" ht="30.75" customHeight="1" x14ac:dyDescent="0.35">
      <c r="A23" s="234"/>
      <c r="B23" s="74" t="s">
        <v>192</v>
      </c>
      <c r="C23" s="81" t="str">
        <f t="shared" si="3"/>
        <v>Pimpinan: Tugas dari pimpinan jarang dilaksanakan dengan baik.</v>
      </c>
      <c r="D23" s="234"/>
      <c r="E23" s="74" t="s">
        <v>192</v>
      </c>
      <c r="F23" s="81" t="s">
        <v>328</v>
      </c>
      <c r="G23" s="234"/>
      <c r="H23" s="74" t="s">
        <v>192</v>
      </c>
      <c r="I23" s="81" t="s">
        <v>328</v>
      </c>
      <c r="J23" s="234"/>
      <c r="K23" s="74" t="s">
        <v>192</v>
      </c>
      <c r="L23" s="81" t="s">
        <v>328</v>
      </c>
      <c r="M23" s="234"/>
      <c r="N23" s="74" t="s">
        <v>192</v>
      </c>
      <c r="O23" s="81" t="s">
        <v>328</v>
      </c>
      <c r="P23" s="234"/>
    </row>
    <row r="24" spans="1:16" ht="15.6" x14ac:dyDescent="0.35">
      <c r="A24" s="234"/>
      <c r="B24" s="74" t="s">
        <v>164</v>
      </c>
      <c r="C24" s="82">
        <f t="shared" si="3"/>
        <v>0</v>
      </c>
      <c r="D24" s="234"/>
      <c r="E24" s="74" t="s">
        <v>164</v>
      </c>
      <c r="F24" s="82"/>
      <c r="G24" s="234"/>
      <c r="H24" s="74" t="s">
        <v>164</v>
      </c>
      <c r="I24" s="82"/>
      <c r="J24" s="234"/>
      <c r="K24" s="74" t="s">
        <v>164</v>
      </c>
      <c r="L24" s="82"/>
      <c r="M24" s="234"/>
      <c r="N24" s="74" t="s">
        <v>164</v>
      </c>
      <c r="O24" s="82"/>
      <c r="P24" s="234"/>
    </row>
    <row r="25" spans="1:16" ht="15.6" x14ac:dyDescent="0.35">
      <c r="A25" s="234"/>
      <c r="B25" s="74" t="s">
        <v>193</v>
      </c>
      <c r="C25" s="81">
        <f t="shared" si="3"/>
        <v>0</v>
      </c>
      <c r="D25" s="234"/>
      <c r="E25" s="74" t="s">
        <v>193</v>
      </c>
      <c r="F25" s="81"/>
      <c r="G25" s="234"/>
      <c r="H25" s="74" t="s">
        <v>193</v>
      </c>
      <c r="I25" s="81"/>
      <c r="J25" s="234"/>
      <c r="K25" s="74" t="s">
        <v>193</v>
      </c>
      <c r="L25" s="81"/>
      <c r="M25" s="234"/>
      <c r="N25" s="74" t="s">
        <v>193</v>
      </c>
      <c r="O25" s="81"/>
      <c r="P25" s="234"/>
    </row>
    <row r="26" spans="1:16" s="372" customFormat="1" ht="30.75" customHeight="1" x14ac:dyDescent="0.3">
      <c r="A26" s="369"/>
      <c r="B26" s="370" t="s">
        <v>81</v>
      </c>
      <c r="C26" s="386" t="str">
        <f t="shared" si="3"/>
        <v xml:space="preserve">Harmonis </v>
      </c>
      <c r="D26" s="369"/>
      <c r="E26" s="370" t="s">
        <v>81</v>
      </c>
      <c r="F26" s="371" t="s">
        <v>150</v>
      </c>
      <c r="G26" s="369"/>
      <c r="H26" s="370" t="s">
        <v>81</v>
      </c>
      <c r="I26" s="371" t="s">
        <v>150</v>
      </c>
      <c r="J26" s="369"/>
      <c r="K26" s="370" t="s">
        <v>81</v>
      </c>
      <c r="L26" s="371" t="s">
        <v>150</v>
      </c>
      <c r="M26" s="369"/>
      <c r="N26" s="370" t="s">
        <v>81</v>
      </c>
      <c r="O26" s="371" t="s">
        <v>150</v>
      </c>
      <c r="P26" s="369"/>
    </row>
    <row r="27" spans="1:16" ht="46.5" x14ac:dyDescent="0.35">
      <c r="A27" s="234"/>
      <c r="B27" s="74" t="s">
        <v>165</v>
      </c>
      <c r="C27" s="82" t="str">
        <f t="shared" si="3"/>
        <v>Pimpinan: Mampu menciptakan lingkungan yang kondusif di tim kerjanya terlihat dari tidak adanya anggota tim / teman sejawat yang berkonflik.</v>
      </c>
      <c r="D27" s="234"/>
      <c r="E27" s="74" t="s">
        <v>165</v>
      </c>
      <c r="F27" s="82" t="s">
        <v>292</v>
      </c>
      <c r="G27" s="234"/>
      <c r="H27" s="74" t="s">
        <v>165</v>
      </c>
      <c r="I27" s="82" t="s">
        <v>292</v>
      </c>
      <c r="J27" s="234"/>
      <c r="K27" s="74" t="s">
        <v>165</v>
      </c>
      <c r="L27" s="82" t="s">
        <v>292</v>
      </c>
      <c r="M27" s="234"/>
      <c r="N27" s="74" t="s">
        <v>165</v>
      </c>
      <c r="O27" s="82" t="s">
        <v>292</v>
      </c>
      <c r="P27" s="234"/>
    </row>
    <row r="28" spans="1:16" ht="46.5" x14ac:dyDescent="0.35">
      <c r="A28" s="234"/>
      <c r="B28" s="74" t="s">
        <v>197</v>
      </c>
      <c r="C28" s="81" t="str">
        <f t="shared" si="3"/>
        <v>Pimpinan: Kurang mampu menciptakan lingkungan yang kondusif di tim kerjanya terlihat dari adanya anggota tim / teman sejawat yang berkonflik.</v>
      </c>
      <c r="D28" s="395"/>
      <c r="E28" s="74" t="s">
        <v>197</v>
      </c>
      <c r="F28" s="81" t="s">
        <v>293</v>
      </c>
      <c r="G28" s="395"/>
      <c r="H28" s="74" t="s">
        <v>197</v>
      </c>
      <c r="I28" s="81" t="s">
        <v>293</v>
      </c>
      <c r="J28" s="395"/>
      <c r="K28" s="74" t="s">
        <v>197</v>
      </c>
      <c r="L28" s="81" t="s">
        <v>293</v>
      </c>
      <c r="M28" s="234"/>
      <c r="N28" s="74" t="s">
        <v>197</v>
      </c>
      <c r="O28" s="81" t="s">
        <v>293</v>
      </c>
      <c r="P28" s="234"/>
    </row>
    <row r="29" spans="1:16" ht="30.75" customHeight="1" x14ac:dyDescent="0.35">
      <c r="A29" s="234"/>
      <c r="B29" s="74" t="s">
        <v>166</v>
      </c>
      <c r="C29" s="82">
        <f t="shared" si="3"/>
        <v>0</v>
      </c>
      <c r="D29" s="395"/>
      <c r="E29" s="74" t="s">
        <v>166</v>
      </c>
      <c r="F29" s="82"/>
      <c r="G29" s="395"/>
      <c r="H29" s="74" t="s">
        <v>166</v>
      </c>
      <c r="I29" s="82"/>
      <c r="J29" s="395"/>
      <c r="K29" s="74" t="s">
        <v>166</v>
      </c>
      <c r="L29" s="82"/>
      <c r="M29" s="234"/>
      <c r="N29" s="74" t="s">
        <v>166</v>
      </c>
      <c r="O29" s="82"/>
      <c r="P29" s="234"/>
    </row>
    <row r="30" spans="1:16" ht="30.75" customHeight="1" x14ac:dyDescent="0.35">
      <c r="A30" s="234"/>
      <c r="B30" s="74" t="s">
        <v>198</v>
      </c>
      <c r="C30" s="81">
        <f t="shared" si="3"/>
        <v>0</v>
      </c>
      <c r="D30" s="234"/>
      <c r="E30" s="74" t="s">
        <v>198</v>
      </c>
      <c r="F30" s="81"/>
      <c r="G30" s="234"/>
      <c r="H30" s="74" t="s">
        <v>198</v>
      </c>
      <c r="I30" s="81"/>
      <c r="J30" s="234"/>
      <c r="K30" s="74" t="s">
        <v>198</v>
      </c>
      <c r="L30" s="81"/>
      <c r="M30" s="234"/>
      <c r="N30" s="74" t="s">
        <v>198</v>
      </c>
      <c r="O30" s="81"/>
      <c r="P30" s="234"/>
    </row>
    <row r="31" spans="1:16" ht="30.75" customHeight="1" x14ac:dyDescent="0.35">
      <c r="A31" s="234"/>
      <c r="B31" s="74" t="s">
        <v>167</v>
      </c>
      <c r="C31" s="82">
        <f t="shared" si="3"/>
        <v>0</v>
      </c>
      <c r="D31" s="234"/>
      <c r="E31" s="74" t="s">
        <v>167</v>
      </c>
      <c r="F31" s="82"/>
      <c r="G31" s="234"/>
      <c r="H31" s="74" t="s">
        <v>167</v>
      </c>
      <c r="I31" s="82"/>
      <c r="J31" s="234"/>
      <c r="K31" s="74" t="s">
        <v>167</v>
      </c>
      <c r="L31" s="82"/>
      <c r="M31" s="234"/>
      <c r="N31" s="74" t="s">
        <v>167</v>
      </c>
      <c r="O31" s="82"/>
      <c r="P31" s="234"/>
    </row>
    <row r="32" spans="1:16" ht="30.75" customHeight="1" x14ac:dyDescent="0.35">
      <c r="A32" s="234"/>
      <c r="B32" s="74" t="s">
        <v>199</v>
      </c>
      <c r="C32" s="81">
        <f t="shared" si="3"/>
        <v>0</v>
      </c>
      <c r="D32" s="234"/>
      <c r="E32" s="74" t="s">
        <v>199</v>
      </c>
      <c r="F32" s="81"/>
      <c r="G32" s="234"/>
      <c r="H32" s="74" t="s">
        <v>199</v>
      </c>
      <c r="I32" s="81"/>
      <c r="J32" s="234"/>
      <c r="K32" s="74" t="s">
        <v>199</v>
      </c>
      <c r="L32" s="81"/>
      <c r="M32" s="234"/>
      <c r="N32" s="74" t="s">
        <v>199</v>
      </c>
      <c r="O32" s="81"/>
      <c r="P32" s="234"/>
    </row>
    <row r="33" spans="1:16" s="372" customFormat="1" ht="30.75" customHeight="1" x14ac:dyDescent="0.3">
      <c r="A33" s="369"/>
      <c r="B33" s="370" t="s">
        <v>85</v>
      </c>
      <c r="C33" s="386" t="str">
        <f t="shared" si="3"/>
        <v>Loyal</v>
      </c>
      <c r="D33" s="369"/>
      <c r="E33" s="370" t="s">
        <v>85</v>
      </c>
      <c r="F33" s="371" t="s">
        <v>41</v>
      </c>
      <c r="G33" s="369"/>
      <c r="H33" s="370" t="s">
        <v>85</v>
      </c>
      <c r="I33" s="371" t="s">
        <v>41</v>
      </c>
      <c r="J33" s="369"/>
      <c r="K33" s="370" t="s">
        <v>85</v>
      </c>
      <c r="L33" s="371" t="s">
        <v>41</v>
      </c>
      <c r="M33" s="369"/>
      <c r="N33" s="370" t="s">
        <v>85</v>
      </c>
      <c r="O33" s="371" t="s">
        <v>41</v>
      </c>
      <c r="P33" s="369"/>
    </row>
    <row r="34" spans="1:16" ht="46.5" x14ac:dyDescent="0.35">
      <c r="A34" s="234"/>
      <c r="B34" s="74" t="s">
        <v>168</v>
      </c>
      <c r="C34" s="82" t="str">
        <f t="shared" si="3"/>
        <v xml:space="preserve">Pimpinan: Arahan pimpinan selalu ditindaklanjuti dengan baik dan progresnya selalu dilaporkan dengan tepat waktu.
</v>
      </c>
      <c r="D34" s="234"/>
      <c r="E34" s="74" t="s">
        <v>168</v>
      </c>
      <c r="F34" s="82" t="s">
        <v>294</v>
      </c>
      <c r="G34" s="234"/>
      <c r="H34" s="74" t="s">
        <v>168</v>
      </c>
      <c r="I34" s="82" t="s">
        <v>294</v>
      </c>
      <c r="J34" s="234"/>
      <c r="K34" s="74" t="s">
        <v>168</v>
      </c>
      <c r="L34" s="82" t="s">
        <v>294</v>
      </c>
      <c r="M34" s="234"/>
      <c r="N34" s="74" t="s">
        <v>168</v>
      </c>
      <c r="O34" s="82" t="s">
        <v>294</v>
      </c>
      <c r="P34" s="234"/>
    </row>
    <row r="35" spans="1:16" ht="46.5" x14ac:dyDescent="0.35">
      <c r="A35" s="234"/>
      <c r="B35" s="74" t="s">
        <v>209</v>
      </c>
      <c r="C35" s="81" t="str">
        <f t="shared" si="3"/>
        <v xml:space="preserve">Pimpinan: Arahan pimpinan jarang ditindaklanjuti dengan baik dan progresnya jarang dilaporkan dengan tepat waktu.
</v>
      </c>
      <c r="D35" s="234"/>
      <c r="E35" s="74" t="s">
        <v>209</v>
      </c>
      <c r="F35" s="81" t="s">
        <v>295</v>
      </c>
      <c r="G35" s="234"/>
      <c r="H35" s="74" t="s">
        <v>209</v>
      </c>
      <c r="I35" s="81" t="s">
        <v>295</v>
      </c>
      <c r="J35" s="234"/>
      <c r="K35" s="74" t="s">
        <v>209</v>
      </c>
      <c r="L35" s="81" t="s">
        <v>295</v>
      </c>
      <c r="M35" s="234"/>
      <c r="N35" s="74" t="s">
        <v>209</v>
      </c>
      <c r="O35" s="81" t="s">
        <v>295</v>
      </c>
      <c r="P35" s="234"/>
    </row>
    <row r="36" spans="1:16" ht="46.5" x14ac:dyDescent="0.35">
      <c r="A36" s="234"/>
      <c r="B36" s="74" t="s">
        <v>169</v>
      </c>
      <c r="C36" s="82" t="str">
        <f t="shared" si="3"/>
        <v>Pimpinan: Selalu siap kapanpun pimpinan membutuhkan, yang bersangkutan siap membantu pimpinan meskipun di luar jam kerja.</v>
      </c>
      <c r="D36" s="234"/>
      <c r="E36" s="74" t="s">
        <v>169</v>
      </c>
      <c r="F36" s="82" t="s">
        <v>296</v>
      </c>
      <c r="G36" s="234"/>
      <c r="H36" s="74" t="s">
        <v>169</v>
      </c>
      <c r="I36" s="82" t="s">
        <v>296</v>
      </c>
      <c r="J36" s="234"/>
      <c r="K36" s="74" t="s">
        <v>169</v>
      </c>
      <c r="L36" s="82" t="s">
        <v>296</v>
      </c>
      <c r="M36" s="234"/>
      <c r="N36" s="74" t="s">
        <v>169</v>
      </c>
      <c r="O36" s="82" t="s">
        <v>296</v>
      </c>
      <c r="P36" s="234"/>
    </row>
    <row r="37" spans="1:16" ht="46.5" x14ac:dyDescent="0.35">
      <c r="A37" s="234"/>
      <c r="B37" s="74" t="s">
        <v>210</v>
      </c>
      <c r="C37" s="81" t="str">
        <f t="shared" si="3"/>
        <v>Pimpinan: Tidak siap kapanpun pimpinan membutuhkan, yang bersangkutan kurang responsif dalam membantu pimpinan meskipun di luar jam kerja.</v>
      </c>
      <c r="D37" s="234"/>
      <c r="E37" s="74" t="s">
        <v>210</v>
      </c>
      <c r="F37" s="81" t="s">
        <v>297</v>
      </c>
      <c r="G37" s="234"/>
      <c r="H37" s="74" t="s">
        <v>210</v>
      </c>
      <c r="I37" s="81" t="s">
        <v>297</v>
      </c>
      <c r="J37" s="234"/>
      <c r="K37" s="74" t="s">
        <v>210</v>
      </c>
      <c r="L37" s="81" t="s">
        <v>297</v>
      </c>
      <c r="M37" s="234"/>
      <c r="N37" s="74" t="s">
        <v>210</v>
      </c>
      <c r="O37" s="81" t="s">
        <v>297</v>
      </c>
      <c r="P37" s="234"/>
    </row>
    <row r="38" spans="1:16" ht="30.75" customHeight="1" x14ac:dyDescent="0.35">
      <c r="A38" s="234"/>
      <c r="B38" s="74" t="s">
        <v>170</v>
      </c>
      <c r="C38" s="82">
        <f t="shared" si="3"/>
        <v>0</v>
      </c>
      <c r="D38" s="234"/>
      <c r="E38" s="74" t="s">
        <v>170</v>
      </c>
      <c r="F38" s="82"/>
      <c r="G38" s="234"/>
      <c r="H38" s="74" t="s">
        <v>170</v>
      </c>
      <c r="I38" s="82"/>
      <c r="J38" s="234"/>
      <c r="K38" s="74" t="s">
        <v>170</v>
      </c>
      <c r="L38" s="82"/>
      <c r="M38" s="234"/>
      <c r="N38" s="74" t="s">
        <v>170</v>
      </c>
      <c r="O38" s="82"/>
      <c r="P38" s="234"/>
    </row>
    <row r="39" spans="1:16" ht="30.75" customHeight="1" x14ac:dyDescent="0.25">
      <c r="A39" s="234"/>
      <c r="B39" s="74" t="s">
        <v>211</v>
      </c>
      <c r="C39" s="81">
        <f t="shared" si="3"/>
        <v>0</v>
      </c>
      <c r="D39" s="234"/>
      <c r="E39" s="74" t="s">
        <v>211</v>
      </c>
      <c r="F39" s="81"/>
      <c r="G39" s="234"/>
      <c r="H39" s="74" t="s">
        <v>211</v>
      </c>
      <c r="I39" s="81"/>
      <c r="J39" s="234"/>
      <c r="K39" s="74" t="s">
        <v>211</v>
      </c>
      <c r="L39" s="81"/>
      <c r="M39" s="234"/>
      <c r="N39" s="74" t="s">
        <v>211</v>
      </c>
      <c r="O39" s="81"/>
      <c r="P39" s="234"/>
    </row>
    <row r="40" spans="1:16" s="372" customFormat="1" ht="30.75" customHeight="1" x14ac:dyDescent="0.25">
      <c r="A40" s="369"/>
      <c r="B40" s="370" t="s">
        <v>154</v>
      </c>
      <c r="C40" s="386" t="str">
        <f t="shared" si="3"/>
        <v>Adaptif</v>
      </c>
      <c r="D40" s="369"/>
      <c r="E40" s="370" t="s">
        <v>154</v>
      </c>
      <c r="F40" s="371" t="s">
        <v>44</v>
      </c>
      <c r="G40" s="369"/>
      <c r="H40" s="370" t="s">
        <v>154</v>
      </c>
      <c r="I40" s="371" t="s">
        <v>44</v>
      </c>
      <c r="J40" s="369"/>
      <c r="K40" s="370" t="s">
        <v>154</v>
      </c>
      <c r="L40" s="371" t="s">
        <v>44</v>
      </c>
      <c r="M40" s="369"/>
      <c r="N40" s="370" t="s">
        <v>154</v>
      </c>
      <c r="O40" s="371" t="s">
        <v>44</v>
      </c>
      <c r="P40" s="369"/>
    </row>
    <row r="41" spans="1:16" ht="31.5" x14ac:dyDescent="0.25">
      <c r="A41" s="234"/>
      <c r="B41" s="74" t="s">
        <v>171</v>
      </c>
      <c r="C41" s="82" t="str">
        <f t="shared" si="3"/>
        <v>Pimpinan: antusias mempelajari hal baru terlihat dari upaya upaya yang bersangkutan ketika mendapat penugasan baru.</v>
      </c>
      <c r="D41" s="234"/>
      <c r="E41" s="74" t="s">
        <v>171</v>
      </c>
      <c r="F41" s="82" t="s">
        <v>298</v>
      </c>
      <c r="G41" s="234"/>
      <c r="H41" s="74" t="s">
        <v>171</v>
      </c>
      <c r="I41" s="82" t="s">
        <v>298</v>
      </c>
      <c r="J41" s="234"/>
      <c r="K41" s="74" t="s">
        <v>171</v>
      </c>
      <c r="L41" s="82" t="s">
        <v>298</v>
      </c>
      <c r="M41" s="234"/>
      <c r="N41" s="74" t="s">
        <v>171</v>
      </c>
      <c r="O41" s="82" t="s">
        <v>298</v>
      </c>
      <c r="P41" s="234"/>
    </row>
    <row r="42" spans="1:16" ht="47.25" x14ac:dyDescent="0.25">
      <c r="A42" s="234"/>
      <c r="B42" s="74" t="s">
        <v>212</v>
      </c>
      <c r="C42" s="82" t="str">
        <f t="shared" si="3"/>
        <v>Pimpinan: Kurang antusias mempelajari hal baru terlihat dari upaya upaya yang bersangkutan ketika mendapat penugasan baru.</v>
      </c>
      <c r="D42" s="234"/>
      <c r="E42" s="74" t="s">
        <v>212</v>
      </c>
      <c r="F42" s="81" t="s">
        <v>299</v>
      </c>
      <c r="G42" s="234"/>
      <c r="H42" s="74" t="s">
        <v>212</v>
      </c>
      <c r="I42" s="81" t="s">
        <v>299</v>
      </c>
      <c r="J42" s="234"/>
      <c r="K42" s="74" t="s">
        <v>212</v>
      </c>
      <c r="L42" s="81" t="s">
        <v>299</v>
      </c>
      <c r="M42" s="234"/>
      <c r="N42" s="74" t="s">
        <v>212</v>
      </c>
      <c r="O42" s="81" t="s">
        <v>299</v>
      </c>
      <c r="P42" s="234"/>
    </row>
    <row r="43" spans="1:16" ht="31.5" x14ac:dyDescent="0.25">
      <c r="A43" s="234"/>
      <c r="B43" s="74" t="s">
        <v>172</v>
      </c>
      <c r="C43" s="81" t="str">
        <f t="shared" si="3"/>
        <v>Pimpinan: Ketika ada perubahan arah strategi dari pimpinan langsung ditindaklanjuti dengan penyesuaian dan resisten.</v>
      </c>
      <c r="D43" s="234"/>
      <c r="E43" s="74" t="s">
        <v>172</v>
      </c>
      <c r="F43" s="82" t="s">
        <v>301</v>
      </c>
      <c r="G43" s="234"/>
      <c r="H43" s="74" t="s">
        <v>172</v>
      </c>
      <c r="I43" s="82" t="s">
        <v>301</v>
      </c>
      <c r="J43" s="234"/>
      <c r="K43" s="74" t="s">
        <v>172</v>
      </c>
      <c r="L43" s="82" t="s">
        <v>301</v>
      </c>
      <c r="M43" s="234"/>
      <c r="N43" s="74" t="s">
        <v>172</v>
      </c>
      <c r="O43" s="82" t="s">
        <v>301</v>
      </c>
      <c r="P43" s="234"/>
    </row>
    <row r="44" spans="1:16" ht="30.75" customHeight="1" x14ac:dyDescent="0.25">
      <c r="A44" s="234"/>
      <c r="B44" s="74" t="s">
        <v>213</v>
      </c>
      <c r="C44" s="82" t="str">
        <f t="shared" si="3"/>
        <v>Pimpinan: Ketika ada perubahan arah strategi dari pimpinan, tidak langsung ditindaklanjuti dengan penyesuaian dan tidak resisten.</v>
      </c>
      <c r="D44" s="234"/>
      <c r="E44" s="74" t="s">
        <v>213</v>
      </c>
      <c r="F44" s="81" t="s">
        <v>300</v>
      </c>
      <c r="G44" s="234"/>
      <c r="H44" s="74" t="s">
        <v>213</v>
      </c>
      <c r="I44" s="81" t="s">
        <v>300</v>
      </c>
      <c r="J44" s="234"/>
      <c r="K44" s="74" t="s">
        <v>213</v>
      </c>
      <c r="L44" s="81" t="s">
        <v>300</v>
      </c>
      <c r="M44" s="234"/>
      <c r="N44" s="74" t="s">
        <v>213</v>
      </c>
      <c r="O44" s="81" t="s">
        <v>300</v>
      </c>
      <c r="P44" s="234"/>
    </row>
    <row r="45" spans="1:16" ht="30.75" customHeight="1" x14ac:dyDescent="0.25">
      <c r="A45" s="234"/>
      <c r="B45" s="74" t="s">
        <v>173</v>
      </c>
      <c r="C45" s="82">
        <f t="shared" si="3"/>
        <v>0</v>
      </c>
      <c r="D45" s="234"/>
      <c r="E45" s="74" t="s">
        <v>173</v>
      </c>
      <c r="F45" s="82"/>
      <c r="G45" s="234"/>
      <c r="H45" s="74" t="s">
        <v>173</v>
      </c>
      <c r="I45" s="82"/>
      <c r="J45" s="234"/>
      <c r="K45" s="74" t="s">
        <v>173</v>
      </c>
      <c r="L45" s="82"/>
      <c r="M45" s="234"/>
      <c r="N45" s="74" t="s">
        <v>173</v>
      </c>
      <c r="O45" s="82"/>
      <c r="P45" s="234"/>
    </row>
    <row r="46" spans="1:16" ht="30.75" customHeight="1" x14ac:dyDescent="0.25">
      <c r="A46" s="234"/>
      <c r="B46" s="74" t="s">
        <v>214</v>
      </c>
      <c r="C46" s="81">
        <f t="shared" si="3"/>
        <v>0</v>
      </c>
      <c r="D46" s="234"/>
      <c r="E46" s="74" t="s">
        <v>214</v>
      </c>
      <c r="F46" s="81"/>
      <c r="G46" s="234"/>
      <c r="H46" s="74" t="s">
        <v>214</v>
      </c>
      <c r="I46" s="81"/>
      <c r="J46" s="234"/>
      <c r="K46" s="74" t="s">
        <v>214</v>
      </c>
      <c r="L46" s="81"/>
      <c r="M46" s="234"/>
      <c r="N46" s="74" t="s">
        <v>214</v>
      </c>
      <c r="O46" s="81"/>
      <c r="P46" s="234"/>
    </row>
    <row r="47" spans="1:16" s="372" customFormat="1" ht="30.75" customHeight="1" x14ac:dyDescent="0.25">
      <c r="A47" s="369"/>
      <c r="B47" s="370" t="s">
        <v>155</v>
      </c>
      <c r="C47" s="386" t="str">
        <f t="shared" si="3"/>
        <v>Kolaboratif</v>
      </c>
      <c r="D47" s="369"/>
      <c r="E47" s="370" t="s">
        <v>155</v>
      </c>
      <c r="F47" s="371" t="s">
        <v>48</v>
      </c>
      <c r="G47" s="369"/>
      <c r="H47" s="370" t="s">
        <v>155</v>
      </c>
      <c r="I47" s="371" t="s">
        <v>48</v>
      </c>
      <c r="J47" s="369"/>
      <c r="K47" s="370" t="s">
        <v>155</v>
      </c>
      <c r="L47" s="371" t="s">
        <v>48</v>
      </c>
      <c r="M47" s="369"/>
      <c r="N47" s="370" t="s">
        <v>155</v>
      </c>
      <c r="O47" s="371" t="s">
        <v>48</v>
      </c>
      <c r="P47" s="369"/>
    </row>
    <row r="48" spans="1:16" ht="31.5" x14ac:dyDescent="0.25">
      <c r="A48" s="234"/>
      <c r="B48" s="74" t="s">
        <v>174</v>
      </c>
      <c r="C48" s="82" t="str">
        <f t="shared" si="3"/>
        <v>Teman sejawat: Sangat terbuka terhadap masukan dari teman sejawat karena ketika dialog selalu 2 arah.</v>
      </c>
      <c r="D48" s="234"/>
      <c r="E48" s="74" t="s">
        <v>174</v>
      </c>
      <c r="F48" s="82" t="s">
        <v>330</v>
      </c>
      <c r="G48" s="234"/>
      <c r="H48" s="74" t="s">
        <v>174</v>
      </c>
      <c r="I48" s="82" t="s">
        <v>330</v>
      </c>
      <c r="J48" s="234"/>
      <c r="K48" s="74" t="s">
        <v>174</v>
      </c>
      <c r="L48" s="82" t="s">
        <v>330</v>
      </c>
      <c r="M48" s="234"/>
      <c r="N48" s="74" t="s">
        <v>174</v>
      </c>
      <c r="O48" s="82" t="s">
        <v>330</v>
      </c>
      <c r="P48" s="234"/>
    </row>
    <row r="49" spans="1:16" ht="30.75" customHeight="1" x14ac:dyDescent="0.25">
      <c r="A49" s="234"/>
      <c r="B49" s="74" t="s">
        <v>215</v>
      </c>
      <c r="C49" s="81" t="str">
        <f t="shared" si="3"/>
        <v>Teman sejawat: Kurang terbuka terhadap masukan dari teman sejawat karena ketika dialog selalu menggunakan konsepnya sendiri.</v>
      </c>
      <c r="D49" s="234"/>
      <c r="E49" s="74" t="s">
        <v>215</v>
      </c>
      <c r="F49" s="81" t="s">
        <v>329</v>
      </c>
      <c r="G49" s="234"/>
      <c r="H49" s="74" t="s">
        <v>215</v>
      </c>
      <c r="I49" s="81" t="s">
        <v>329</v>
      </c>
      <c r="J49" s="234"/>
      <c r="K49" s="74" t="s">
        <v>215</v>
      </c>
      <c r="L49" s="81" t="s">
        <v>329</v>
      </c>
      <c r="M49" s="234"/>
      <c r="N49" s="74" t="s">
        <v>215</v>
      </c>
      <c r="O49" s="81" t="s">
        <v>329</v>
      </c>
      <c r="P49" s="234"/>
    </row>
    <row r="50" spans="1:16" ht="30.75" customHeight="1" x14ac:dyDescent="0.25">
      <c r="A50" s="234"/>
      <c r="B50" s="74" t="s">
        <v>175</v>
      </c>
      <c r="C50" s="82">
        <f t="shared" si="3"/>
        <v>0</v>
      </c>
      <c r="D50" s="234"/>
      <c r="E50" s="74" t="s">
        <v>175</v>
      </c>
      <c r="F50" s="82"/>
      <c r="G50" s="234"/>
      <c r="H50" s="74" t="s">
        <v>175</v>
      </c>
      <c r="I50" s="82"/>
      <c r="J50" s="234"/>
      <c r="K50" s="74" t="s">
        <v>175</v>
      </c>
      <c r="L50" s="82"/>
      <c r="M50" s="234"/>
      <c r="N50" s="74" t="s">
        <v>175</v>
      </c>
      <c r="O50" s="82"/>
      <c r="P50" s="234"/>
    </row>
    <row r="51" spans="1:16" ht="30.75" customHeight="1" x14ac:dyDescent="0.25">
      <c r="A51" s="234"/>
      <c r="B51" s="74" t="s">
        <v>216</v>
      </c>
      <c r="C51" s="81">
        <f t="shared" si="3"/>
        <v>0</v>
      </c>
      <c r="D51" s="234"/>
      <c r="E51" s="74" t="s">
        <v>216</v>
      </c>
      <c r="F51" s="81"/>
      <c r="G51" s="234"/>
      <c r="H51" s="74" t="s">
        <v>216</v>
      </c>
      <c r="I51" s="81"/>
      <c r="J51" s="234"/>
      <c r="K51" s="74" t="s">
        <v>216</v>
      </c>
      <c r="L51" s="81"/>
      <c r="M51" s="234"/>
      <c r="N51" s="74" t="s">
        <v>216</v>
      </c>
      <c r="O51" s="81"/>
      <c r="P51" s="234"/>
    </row>
    <row r="52" spans="1:16" ht="30.75" customHeight="1" x14ac:dyDescent="0.25">
      <c r="A52" s="234"/>
      <c r="B52" s="74" t="s">
        <v>176</v>
      </c>
      <c r="C52" s="82">
        <f t="shared" si="3"/>
        <v>0</v>
      </c>
      <c r="D52" s="234"/>
      <c r="E52" s="74" t="s">
        <v>176</v>
      </c>
      <c r="F52" s="82"/>
      <c r="G52" s="234"/>
      <c r="H52" s="74" t="s">
        <v>176</v>
      </c>
      <c r="I52" s="82"/>
      <c r="J52" s="234"/>
      <c r="K52" s="74" t="s">
        <v>176</v>
      </c>
      <c r="L52" s="82"/>
      <c r="M52" s="234"/>
      <c r="N52" s="74" t="s">
        <v>176</v>
      </c>
      <c r="O52" s="82"/>
      <c r="P52" s="234"/>
    </row>
    <row r="53" spans="1:16" ht="30.75" customHeight="1" x14ac:dyDescent="0.25">
      <c r="A53" s="234"/>
      <c r="B53" s="74" t="s">
        <v>217</v>
      </c>
      <c r="C53" s="81">
        <f t="shared" si="3"/>
        <v>0</v>
      </c>
      <c r="D53" s="234"/>
      <c r="E53" s="74" t="s">
        <v>217</v>
      </c>
      <c r="F53" s="81"/>
      <c r="G53" s="234"/>
      <c r="H53" s="74" t="s">
        <v>217</v>
      </c>
      <c r="I53" s="81"/>
      <c r="J53" s="234"/>
      <c r="K53" s="74" t="s">
        <v>217</v>
      </c>
      <c r="L53" s="81"/>
      <c r="M53" s="234"/>
      <c r="N53" s="74" t="s">
        <v>217</v>
      </c>
      <c r="O53" s="81"/>
      <c r="P53" s="234"/>
    </row>
    <row r="54" spans="1:16" x14ac:dyDescent="0.25">
      <c r="A54" s="234"/>
      <c r="B54" s="234"/>
      <c r="C54" s="234"/>
      <c r="D54" s="234"/>
      <c r="E54" s="234"/>
      <c r="F54" s="234"/>
      <c r="G54" s="234"/>
      <c r="H54" s="234"/>
      <c r="I54" s="234"/>
      <c r="J54" s="234"/>
      <c r="K54" s="234"/>
      <c r="L54" s="234"/>
      <c r="M54" s="234"/>
      <c r="N54" s="234"/>
      <c r="O54" s="234"/>
      <c r="P54" s="234"/>
    </row>
  </sheetData>
  <sheetProtection sheet="1" objects="1" scenarios="1"/>
  <protectedRanges>
    <protectedRange sqref="I5:I53 L5:L53 O5:O53 F5:F53 C5:C53" name="Range1"/>
  </protectedRanges>
  <hyperlinks>
    <hyperlink ref="B1" location="HOME!A1" display="HOME"/>
    <hyperlink ref="H1" location="HOME!A1" display="HOME"/>
    <hyperlink ref="K1" location="HOME!A1" display="HOME"/>
    <hyperlink ref="N1" location="HOME!A1" display="HOME"/>
    <hyperlink ref="E1" location="HOME!A1" display="HOME"/>
  </hyperlinks>
  <printOptions horizontalCentered="1"/>
  <pageMargins left="0.59055118110236227" right="0.39370078740157483" top="0.59055118110236227" bottom="0.39370078740157483" header="0.31496062992125984" footer="0.19685039370078741"/>
  <pageSetup paperSize="9" scale="64" orientation="landscape" horizontalDpi="4294967293" verticalDpi="0" r:id="rId1"/>
  <headerFooter>
    <oddFooter>&amp;CPERILAKU KERJA-EKSPETASI-UMPAN BALIK&amp;R&amp;P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J31"/>
  <sheetViews>
    <sheetView showGridLines="0" showRowColHeaders="0" zoomScaleNormal="100" workbookViewId="0">
      <pane xSplit="1" ySplit="3" topLeftCell="B19" activePane="bottomRight" state="frozen"/>
      <selection pane="topRight" activeCell="B1" sqref="B1"/>
      <selection pane="bottomLeft" activeCell="A4" sqref="A4"/>
      <selection pane="bottomRight" activeCell="F1" sqref="F1"/>
    </sheetView>
  </sheetViews>
  <sheetFormatPr defaultRowHeight="15" x14ac:dyDescent="0.25"/>
  <cols>
    <col min="1" max="1" width="4.7109375" customWidth="1"/>
    <col min="2" max="2" width="19.140625" bestFit="1" customWidth="1"/>
    <col min="3" max="3" width="18.5703125" customWidth="1"/>
    <col min="4" max="4" width="19.140625" customWidth="1"/>
    <col min="5" max="5" width="19" customWidth="1"/>
    <col min="6" max="6" width="6.85546875" style="12" customWidth="1"/>
    <col min="7" max="7" width="13.85546875" bestFit="1" customWidth="1"/>
    <col min="8" max="8" width="11.140625" bestFit="1" customWidth="1"/>
    <col min="9" max="9" width="12.85546875" bestFit="1" customWidth="1"/>
    <col min="10" max="10" width="11.28515625" customWidth="1"/>
  </cols>
  <sheetData>
    <row r="1" spans="1:10" ht="20.25" customHeight="1" x14ac:dyDescent="0.35">
      <c r="A1" s="89"/>
      <c r="B1" s="89"/>
      <c r="C1" s="89"/>
      <c r="D1" s="89"/>
      <c r="E1" s="89"/>
      <c r="F1" s="72" t="s">
        <v>255</v>
      </c>
      <c r="J1" s="67"/>
    </row>
    <row r="2" spans="1:10" ht="14.45" x14ac:dyDescent="0.35">
      <c r="A2" s="89"/>
      <c r="B2" s="119" t="s">
        <v>84</v>
      </c>
      <c r="F2" s="89"/>
      <c r="I2" s="13"/>
    </row>
    <row r="3" spans="1:10" ht="29.1" x14ac:dyDescent="0.35">
      <c r="A3" s="89"/>
      <c r="B3" s="120" t="s">
        <v>93</v>
      </c>
      <c r="C3" s="120" t="s">
        <v>94</v>
      </c>
      <c r="D3" s="121" t="s">
        <v>246</v>
      </c>
      <c r="E3" s="120" t="s">
        <v>95</v>
      </c>
      <c r="F3" s="89"/>
    </row>
    <row r="4" spans="1:10" ht="14.45" x14ac:dyDescent="0.35">
      <c r="A4" s="89"/>
      <c r="B4" s="321" t="s">
        <v>90</v>
      </c>
      <c r="C4" s="321" t="s">
        <v>90</v>
      </c>
      <c r="D4" s="322" t="str">
        <f>B4&amp;C4</f>
        <v>Di Atas EkspektasiDi Atas Ekspektasi</v>
      </c>
      <c r="E4" s="321" t="s">
        <v>96</v>
      </c>
      <c r="F4" s="89"/>
    </row>
    <row r="5" spans="1:10" ht="14.45" x14ac:dyDescent="0.35">
      <c r="A5" s="89"/>
      <c r="B5" s="321" t="s">
        <v>91</v>
      </c>
      <c r="C5" s="321" t="s">
        <v>90</v>
      </c>
      <c r="D5" s="322" t="str">
        <f t="shared" ref="D5:D21" si="0">B5&amp;C5</f>
        <v>Sesuai EkspektasiDi Atas Ekspektasi</v>
      </c>
      <c r="E5" s="321" t="s">
        <v>97</v>
      </c>
      <c r="F5" s="89"/>
    </row>
    <row r="6" spans="1:10" ht="14.45" x14ac:dyDescent="0.35">
      <c r="A6" s="89"/>
      <c r="B6" s="321" t="s">
        <v>92</v>
      </c>
      <c r="C6" s="321" t="s">
        <v>90</v>
      </c>
      <c r="D6" s="322" t="str">
        <f t="shared" si="0"/>
        <v>Di Bawah EkspektasiDi Atas Ekspektasi</v>
      </c>
      <c r="E6" s="321" t="s">
        <v>98</v>
      </c>
      <c r="F6" s="89"/>
    </row>
    <row r="7" spans="1:10" ht="14.45" x14ac:dyDescent="0.35">
      <c r="A7" s="89"/>
      <c r="B7" s="321" t="s">
        <v>90</v>
      </c>
      <c r="C7" s="321" t="s">
        <v>91</v>
      </c>
      <c r="D7" s="322" t="str">
        <f t="shared" si="0"/>
        <v>Di Atas EkspektasiSesuai Ekspektasi</v>
      </c>
      <c r="E7" s="321" t="s">
        <v>97</v>
      </c>
      <c r="F7" s="89"/>
    </row>
    <row r="8" spans="1:10" ht="14.45" x14ac:dyDescent="0.35">
      <c r="A8" s="89"/>
      <c r="B8" s="321" t="s">
        <v>91</v>
      </c>
      <c r="C8" s="321" t="s">
        <v>91</v>
      </c>
      <c r="D8" s="322" t="str">
        <f t="shared" si="0"/>
        <v>Sesuai EkspektasiSesuai Ekspektasi</v>
      </c>
      <c r="E8" s="321" t="s">
        <v>97</v>
      </c>
      <c r="F8" s="89"/>
    </row>
    <row r="9" spans="1:10" ht="14.45" x14ac:dyDescent="0.35">
      <c r="A9" s="89"/>
      <c r="B9" s="321" t="s">
        <v>92</v>
      </c>
      <c r="C9" s="321" t="s">
        <v>91</v>
      </c>
      <c r="D9" s="322" t="str">
        <f t="shared" si="0"/>
        <v>Di Bawah EkspektasiSesuai Ekspektasi</v>
      </c>
      <c r="E9" s="321" t="s">
        <v>98</v>
      </c>
      <c r="F9" s="89"/>
    </row>
    <row r="10" spans="1:10" ht="14.45" x14ac:dyDescent="0.35">
      <c r="A10" s="89"/>
      <c r="B10" s="321" t="s">
        <v>90</v>
      </c>
      <c r="C10" s="321" t="s">
        <v>92</v>
      </c>
      <c r="D10" s="322" t="str">
        <f t="shared" si="0"/>
        <v>Di Atas EkspektasiDi Bawah Ekspektasi</v>
      </c>
      <c r="E10" s="321" t="s">
        <v>280</v>
      </c>
      <c r="F10" s="89"/>
    </row>
    <row r="11" spans="1:10" ht="14.45" x14ac:dyDescent="0.35">
      <c r="A11" s="89"/>
      <c r="B11" s="321" t="s">
        <v>91</v>
      </c>
      <c r="C11" s="321" t="s">
        <v>92</v>
      </c>
      <c r="D11" s="322" t="str">
        <f t="shared" si="0"/>
        <v>Sesuai EkspektasiDi Bawah Ekspektasi</v>
      </c>
      <c r="E11" s="321" t="s">
        <v>280</v>
      </c>
      <c r="F11" s="89"/>
    </row>
    <row r="12" spans="1:10" ht="14.45" x14ac:dyDescent="0.35">
      <c r="A12" s="89"/>
      <c r="B12" s="321" t="s">
        <v>92</v>
      </c>
      <c r="C12" s="321" t="s">
        <v>92</v>
      </c>
      <c r="D12" s="322" t="str">
        <f t="shared" si="0"/>
        <v>Di Bawah EkspektasiDi Bawah Ekspektasi</v>
      </c>
      <c r="E12" s="321" t="s">
        <v>99</v>
      </c>
      <c r="F12" s="89"/>
    </row>
    <row r="13" spans="1:10" ht="14.45" x14ac:dyDescent="0.35">
      <c r="A13" s="89"/>
      <c r="B13" s="321" t="s">
        <v>90</v>
      </c>
      <c r="C13" s="321" t="s">
        <v>90</v>
      </c>
      <c r="D13" s="322" t="str">
        <f t="shared" si="0"/>
        <v>Di Atas EkspektasiDi Atas Ekspektasi</v>
      </c>
      <c r="E13" s="321" t="s">
        <v>96</v>
      </c>
      <c r="F13" s="89"/>
    </row>
    <row r="14" spans="1:10" ht="14.45" x14ac:dyDescent="0.35">
      <c r="A14" s="89"/>
      <c r="B14" s="321" t="s">
        <v>90</v>
      </c>
      <c r="C14" s="321" t="s">
        <v>91</v>
      </c>
      <c r="D14" s="322" t="str">
        <f t="shared" si="0"/>
        <v>Di Atas EkspektasiSesuai Ekspektasi</v>
      </c>
      <c r="E14" s="321" t="s">
        <v>97</v>
      </c>
      <c r="F14" s="89"/>
    </row>
    <row r="15" spans="1:10" ht="14.45" x14ac:dyDescent="0.35">
      <c r="A15" s="89"/>
      <c r="B15" s="321" t="s">
        <v>90</v>
      </c>
      <c r="C15" s="321" t="s">
        <v>92</v>
      </c>
      <c r="D15" s="322" t="str">
        <f t="shared" si="0"/>
        <v>Di Atas EkspektasiDi Bawah Ekspektasi</v>
      </c>
      <c r="E15" s="321" t="s">
        <v>280</v>
      </c>
      <c r="F15" s="89"/>
    </row>
    <row r="16" spans="1:10" ht="14.45" x14ac:dyDescent="0.35">
      <c r="A16" s="89"/>
      <c r="B16" s="321" t="s">
        <v>91</v>
      </c>
      <c r="C16" s="321" t="s">
        <v>90</v>
      </c>
      <c r="D16" s="322" t="str">
        <f t="shared" si="0"/>
        <v>Sesuai EkspektasiDi Atas Ekspektasi</v>
      </c>
      <c r="E16" s="321" t="s">
        <v>97</v>
      </c>
      <c r="F16" s="89"/>
    </row>
    <row r="17" spans="1:6" ht="14.45" x14ac:dyDescent="0.35">
      <c r="A17" s="89"/>
      <c r="B17" s="321" t="s">
        <v>91</v>
      </c>
      <c r="C17" s="321" t="s">
        <v>91</v>
      </c>
      <c r="D17" s="322" t="str">
        <f t="shared" si="0"/>
        <v>Sesuai EkspektasiSesuai Ekspektasi</v>
      </c>
      <c r="E17" s="321" t="s">
        <v>97</v>
      </c>
      <c r="F17" s="89"/>
    </row>
    <row r="18" spans="1:6" ht="14.45" x14ac:dyDescent="0.35">
      <c r="A18" s="89"/>
      <c r="B18" s="321" t="s">
        <v>91</v>
      </c>
      <c r="C18" s="321" t="s">
        <v>92</v>
      </c>
      <c r="D18" s="322" t="str">
        <f t="shared" si="0"/>
        <v>Sesuai EkspektasiDi Bawah Ekspektasi</v>
      </c>
      <c r="E18" s="321" t="s">
        <v>100</v>
      </c>
      <c r="F18" s="89"/>
    </row>
    <row r="19" spans="1:6" ht="14.45" x14ac:dyDescent="0.35">
      <c r="A19" s="89"/>
      <c r="B19" s="321" t="s">
        <v>92</v>
      </c>
      <c r="C19" s="321" t="s">
        <v>90</v>
      </c>
      <c r="D19" s="322" t="str">
        <f t="shared" si="0"/>
        <v>Di Bawah EkspektasiDi Atas Ekspektasi</v>
      </c>
      <c r="E19" s="321" t="s">
        <v>98</v>
      </c>
      <c r="F19" s="89"/>
    </row>
    <row r="20" spans="1:6" ht="14.45" x14ac:dyDescent="0.35">
      <c r="A20" s="89"/>
      <c r="B20" s="321" t="s">
        <v>92</v>
      </c>
      <c r="C20" s="321" t="s">
        <v>91</v>
      </c>
      <c r="D20" s="322" t="str">
        <f t="shared" si="0"/>
        <v>Di Bawah EkspektasiSesuai Ekspektasi</v>
      </c>
      <c r="E20" s="321" t="s">
        <v>98</v>
      </c>
      <c r="F20" s="89"/>
    </row>
    <row r="21" spans="1:6" ht="14.45" x14ac:dyDescent="0.35">
      <c r="A21" s="89"/>
      <c r="B21" s="321" t="s">
        <v>92</v>
      </c>
      <c r="C21" s="321" t="s">
        <v>92</v>
      </c>
      <c r="D21" s="322" t="str">
        <f t="shared" si="0"/>
        <v>Di Bawah EkspektasiDi Bawah Ekspektasi</v>
      </c>
      <c r="E21" s="321" t="s">
        <v>99</v>
      </c>
      <c r="F21" s="89"/>
    </row>
    <row r="22" spans="1:6" ht="14.45" x14ac:dyDescent="0.35">
      <c r="A22" s="89"/>
      <c r="F22" s="89"/>
    </row>
    <row r="23" spans="1:6" ht="14.45" x14ac:dyDescent="0.35">
      <c r="A23" s="89"/>
      <c r="B23" s="716" t="s">
        <v>10</v>
      </c>
      <c r="C23" s="716"/>
      <c r="F23" s="89"/>
    </row>
    <row r="24" spans="1:6" ht="69" customHeight="1" x14ac:dyDescent="0.35">
      <c r="A24" s="89"/>
      <c r="B24" s="80" t="s">
        <v>90</v>
      </c>
      <c r="C24" s="323" t="str">
        <f>E10</f>
        <v>KURANG/MISS CONDUCT</v>
      </c>
      <c r="D24" s="324" t="str">
        <f>E7</f>
        <v>BAIK</v>
      </c>
      <c r="E24" s="325" t="str">
        <f>E4</f>
        <v>SANGAT BAIK</v>
      </c>
      <c r="F24" s="89"/>
    </row>
    <row r="25" spans="1:6" ht="69" customHeight="1" x14ac:dyDescent="0.35">
      <c r="A25" s="89"/>
      <c r="B25" s="80" t="s">
        <v>91</v>
      </c>
      <c r="C25" s="326" t="str">
        <f>E11</f>
        <v>KURANG/MISS CONDUCT</v>
      </c>
      <c r="D25" s="324" t="str">
        <f>E8</f>
        <v>BAIK</v>
      </c>
      <c r="E25" s="327" t="str">
        <f>E5</f>
        <v>BAIK</v>
      </c>
      <c r="F25" s="89"/>
    </row>
    <row r="26" spans="1:6" ht="69" customHeight="1" x14ac:dyDescent="0.35">
      <c r="A26" s="89"/>
      <c r="B26" s="80" t="s">
        <v>92</v>
      </c>
      <c r="C26" s="328" t="str">
        <f>E12</f>
        <v>SANGAT KURANG</v>
      </c>
      <c r="D26" s="329" t="str">
        <f>E9</f>
        <v>BUTUH PERBAIKAN</v>
      </c>
      <c r="E26" s="330" t="str">
        <f>E6</f>
        <v>BUTUH PERBAIKAN</v>
      </c>
      <c r="F26" s="89"/>
    </row>
    <row r="27" spans="1:6" ht="14.45" x14ac:dyDescent="0.35">
      <c r="A27" s="89"/>
      <c r="B27" s="11"/>
      <c r="C27" s="2" t="s">
        <v>92</v>
      </c>
      <c r="D27" s="2" t="s">
        <v>91</v>
      </c>
      <c r="E27" s="2" t="s">
        <v>90</v>
      </c>
      <c r="F27" s="89"/>
    </row>
    <row r="28" spans="1:6" ht="14.45" x14ac:dyDescent="0.35">
      <c r="A28" s="89"/>
      <c r="D28" s="70" t="s">
        <v>247</v>
      </c>
      <c r="F28" s="89"/>
    </row>
    <row r="29" spans="1:6" ht="14.45" x14ac:dyDescent="0.35">
      <c r="A29" s="89"/>
      <c r="F29" s="89"/>
    </row>
    <row r="30" spans="1:6" ht="14.45" x14ac:dyDescent="0.35">
      <c r="A30" s="89"/>
      <c r="B30" s="89"/>
      <c r="C30" s="89"/>
      <c r="D30" s="89"/>
      <c r="E30" s="89"/>
      <c r="F30" s="89"/>
    </row>
    <row r="31" spans="1:6" ht="14.45" x14ac:dyDescent="0.35">
      <c r="A31" s="89"/>
      <c r="B31" s="89"/>
      <c r="C31" s="89"/>
      <c r="D31" s="89"/>
      <c r="E31" s="89"/>
      <c r="F31" s="89"/>
    </row>
  </sheetData>
  <sheetProtection sheet="1" objects="1" scenarios="1"/>
  <mergeCells count="1">
    <mergeCell ref="B23:C23"/>
  </mergeCells>
  <hyperlinks>
    <hyperlink ref="F1" location="HOME!A1" display="HOME"/>
  </hyperlinks>
  <printOptions horizontalCentered="1"/>
  <pageMargins left="0.70866141732283472" right="0.70866141732283472" top="0.98425196850393704" bottom="0.74803149606299213" header="0.31496062992125984" footer="0.31496062992125984"/>
  <pageSetup paperSize="9" scale="95"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21"/>
  <sheetViews>
    <sheetView showGridLines="0" showRowColHeaders="0" zoomScaleNormal="100"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5.7109375" customWidth="1"/>
    <col min="2" max="2" width="18.7109375" bestFit="1" customWidth="1"/>
    <col min="3" max="3" width="13.85546875" bestFit="1" customWidth="1"/>
    <col min="4" max="4" width="4.7109375" customWidth="1"/>
    <col min="5" max="5" width="23.7109375" customWidth="1"/>
    <col min="6" max="6" width="29.42578125" customWidth="1"/>
    <col min="7" max="7" width="4.7109375" customWidth="1"/>
    <col min="8" max="8" width="18.7109375" bestFit="1" customWidth="1"/>
    <col min="9" max="9" width="13.85546875" bestFit="1" customWidth="1"/>
    <col min="10" max="10" width="4.7109375" customWidth="1"/>
    <col min="11" max="11" width="18.7109375" bestFit="1" customWidth="1"/>
    <col min="12" max="12" width="13.85546875" bestFit="1" customWidth="1"/>
    <col min="13" max="13" width="4.7109375" customWidth="1"/>
    <col min="14" max="14" width="18.7109375" bestFit="1" customWidth="1"/>
    <col min="15" max="15" width="13.85546875" bestFit="1" customWidth="1"/>
    <col min="16" max="16" width="5.7109375" customWidth="1"/>
  </cols>
  <sheetData>
    <row r="1" spans="1:16" x14ac:dyDescent="0.35">
      <c r="A1" s="222" t="s">
        <v>255</v>
      </c>
      <c r="B1" s="89"/>
      <c r="C1" s="89"/>
      <c r="D1" s="89"/>
      <c r="E1" s="89"/>
      <c r="F1" s="89"/>
      <c r="G1" s="89"/>
      <c r="H1" s="89"/>
      <c r="I1" s="89"/>
      <c r="J1" s="89"/>
      <c r="K1" s="89"/>
      <c r="L1" s="89"/>
      <c r="M1" s="89"/>
      <c r="N1" s="89"/>
      <c r="O1" s="89"/>
      <c r="P1" s="89"/>
    </row>
    <row r="2" spans="1:16" ht="14.45" x14ac:dyDescent="0.35">
      <c r="A2" s="89"/>
      <c r="B2" s="717" t="s">
        <v>282</v>
      </c>
      <c r="C2" s="717"/>
      <c r="D2" s="119"/>
      <c r="E2" s="718" t="s">
        <v>97</v>
      </c>
      <c r="F2" s="718"/>
      <c r="G2" s="119"/>
      <c r="H2" s="717" t="s">
        <v>98</v>
      </c>
      <c r="I2" s="717"/>
      <c r="J2" s="119"/>
      <c r="K2" s="717" t="s">
        <v>283</v>
      </c>
      <c r="L2" s="717"/>
      <c r="N2" s="719" t="s">
        <v>61</v>
      </c>
      <c r="O2" s="719"/>
      <c r="P2" s="89"/>
    </row>
    <row r="3" spans="1:16" ht="57.95" x14ac:dyDescent="0.35">
      <c r="A3" s="89"/>
      <c r="B3" s="14" t="s">
        <v>62</v>
      </c>
      <c r="C3" s="14" t="s">
        <v>63</v>
      </c>
      <c r="D3" s="16"/>
      <c r="E3" s="334" t="s">
        <v>62</v>
      </c>
      <c r="F3" s="126" t="s">
        <v>106</v>
      </c>
      <c r="G3" s="16"/>
      <c r="H3" s="14" t="s">
        <v>62</v>
      </c>
      <c r="I3" s="14" t="s">
        <v>63</v>
      </c>
      <c r="J3" s="16"/>
      <c r="K3" s="14" t="s">
        <v>62</v>
      </c>
      <c r="L3" s="14" t="s">
        <v>63</v>
      </c>
      <c r="N3" s="7" t="s">
        <v>62</v>
      </c>
      <c r="O3" s="7" t="s">
        <v>63</v>
      </c>
      <c r="P3" s="89"/>
    </row>
    <row r="4" spans="1:16" ht="14.45" x14ac:dyDescent="0.35">
      <c r="A4" s="89"/>
      <c r="B4" s="20" t="s">
        <v>61</v>
      </c>
      <c r="C4" s="17">
        <v>0</v>
      </c>
      <c r="D4" s="18"/>
      <c r="E4" s="128" t="s">
        <v>61</v>
      </c>
      <c r="F4" s="127">
        <v>0</v>
      </c>
      <c r="G4" s="16"/>
      <c r="H4" s="20" t="s">
        <v>61</v>
      </c>
      <c r="I4" s="17">
        <v>3</v>
      </c>
      <c r="J4" s="16"/>
      <c r="K4" s="20" t="s">
        <v>61</v>
      </c>
      <c r="L4" s="17">
        <v>2</v>
      </c>
      <c r="N4" s="8" t="s">
        <v>61</v>
      </c>
      <c r="O4" s="9">
        <v>13</v>
      </c>
      <c r="P4" s="89"/>
    </row>
    <row r="5" spans="1:16" ht="14.45" x14ac:dyDescent="0.35">
      <c r="A5" s="89"/>
      <c r="B5" s="20" t="s">
        <v>60</v>
      </c>
      <c r="C5" s="17">
        <v>0</v>
      </c>
      <c r="D5" s="18"/>
      <c r="E5" s="128" t="s">
        <v>107</v>
      </c>
      <c r="F5" s="127">
        <v>0</v>
      </c>
      <c r="G5" s="16"/>
      <c r="H5" s="20" t="s">
        <v>60</v>
      </c>
      <c r="I5" s="17">
        <v>4</v>
      </c>
      <c r="J5" s="16"/>
      <c r="K5" s="20" t="s">
        <v>60</v>
      </c>
      <c r="L5" s="17">
        <v>11</v>
      </c>
      <c r="N5" s="8" t="s">
        <v>60</v>
      </c>
      <c r="O5" s="9">
        <v>7</v>
      </c>
      <c r="P5" s="89"/>
    </row>
    <row r="6" spans="1:16" ht="14.45" x14ac:dyDescent="0.35">
      <c r="A6" s="89"/>
      <c r="B6" s="20" t="s">
        <v>59</v>
      </c>
      <c r="C6" s="17">
        <v>0</v>
      </c>
      <c r="D6" s="18"/>
      <c r="E6" s="128" t="s">
        <v>59</v>
      </c>
      <c r="F6" s="127">
        <v>1</v>
      </c>
      <c r="G6" s="16"/>
      <c r="H6" s="20" t="s">
        <v>59</v>
      </c>
      <c r="I6" s="17">
        <v>10</v>
      </c>
      <c r="J6" s="16"/>
      <c r="K6" s="20" t="s">
        <v>59</v>
      </c>
      <c r="L6" s="17">
        <v>6</v>
      </c>
      <c r="N6" s="8" t="s">
        <v>59</v>
      </c>
      <c r="O6" s="9">
        <v>3</v>
      </c>
      <c r="P6" s="89"/>
    </row>
    <row r="7" spans="1:16" ht="14.45" x14ac:dyDescent="0.35">
      <c r="A7" s="89"/>
      <c r="B7" s="20" t="s">
        <v>58</v>
      </c>
      <c r="C7" s="17">
        <v>16</v>
      </c>
      <c r="D7" s="18"/>
      <c r="E7" s="129" t="s">
        <v>58</v>
      </c>
      <c r="F7" s="127">
        <v>16</v>
      </c>
      <c r="G7" s="16"/>
      <c r="H7" s="20" t="s">
        <v>58</v>
      </c>
      <c r="I7" s="17">
        <v>4</v>
      </c>
      <c r="J7" s="16"/>
      <c r="K7" s="20" t="s">
        <v>58</v>
      </c>
      <c r="L7" s="17">
        <v>3</v>
      </c>
      <c r="N7" s="8" t="s">
        <v>58</v>
      </c>
      <c r="O7" s="9">
        <v>1</v>
      </c>
      <c r="P7" s="89"/>
    </row>
    <row r="8" spans="1:16" ht="14.45" x14ac:dyDescent="0.35">
      <c r="A8" s="89"/>
      <c r="B8" s="20" t="s">
        <v>64</v>
      </c>
      <c r="C8" s="17">
        <v>1</v>
      </c>
      <c r="D8" s="18"/>
      <c r="E8" s="128" t="s">
        <v>64</v>
      </c>
      <c r="F8" s="127">
        <v>2</v>
      </c>
      <c r="G8" s="16"/>
      <c r="H8" s="20" t="s">
        <v>64</v>
      </c>
      <c r="I8" s="17">
        <v>3</v>
      </c>
      <c r="J8" s="16"/>
      <c r="K8" s="20" t="s">
        <v>64</v>
      </c>
      <c r="L8" s="17">
        <v>2</v>
      </c>
      <c r="N8" s="8" t="s">
        <v>64</v>
      </c>
      <c r="O8" s="9">
        <v>0</v>
      </c>
      <c r="P8" s="89"/>
    </row>
    <row r="9" spans="1:16" ht="14.45" x14ac:dyDescent="0.35">
      <c r="A9" s="89"/>
      <c r="B9" s="20" t="s">
        <v>65</v>
      </c>
      <c r="C9" s="17">
        <f>SUM(C4:C8)</f>
        <v>17</v>
      </c>
      <c r="D9" s="19"/>
      <c r="E9" s="20" t="s">
        <v>65</v>
      </c>
      <c r="F9" s="17">
        <f>SUM(F4:F8)</f>
        <v>19</v>
      </c>
      <c r="G9" s="16"/>
      <c r="H9" s="20" t="s">
        <v>65</v>
      </c>
      <c r="I9" s="17">
        <f>SUM(I4:I8)</f>
        <v>24</v>
      </c>
      <c r="J9" s="16"/>
      <c r="K9" s="20" t="s">
        <v>65</v>
      </c>
      <c r="L9" s="17">
        <f>SUM(L4:L8)</f>
        <v>24</v>
      </c>
      <c r="N9" s="8" t="s">
        <v>65</v>
      </c>
      <c r="O9" s="9">
        <f>SUM(O4:O8)</f>
        <v>24</v>
      </c>
      <c r="P9" s="89"/>
    </row>
    <row r="10" spans="1:16" ht="14.45" x14ac:dyDescent="0.35">
      <c r="A10" s="89"/>
      <c r="E10" s="335"/>
      <c r="F10" s="336"/>
      <c r="P10" s="89"/>
    </row>
    <row r="11" spans="1:16" ht="14.45" x14ac:dyDescent="0.35">
      <c r="A11" s="89"/>
      <c r="E11" s="337"/>
      <c r="F11" s="338"/>
      <c r="P11" s="89"/>
    </row>
    <row r="12" spans="1:16" ht="14.45" x14ac:dyDescent="0.35">
      <c r="A12" s="89"/>
      <c r="E12" s="337"/>
      <c r="F12" s="338"/>
      <c r="P12" s="89"/>
    </row>
    <row r="13" spans="1:16" ht="14.45" x14ac:dyDescent="0.35">
      <c r="A13" s="89"/>
      <c r="E13" s="337"/>
      <c r="F13" s="338"/>
      <c r="P13" s="89"/>
    </row>
    <row r="14" spans="1:16" ht="14.45" x14ac:dyDescent="0.35">
      <c r="A14" s="89"/>
      <c r="E14" s="337"/>
      <c r="F14" s="338"/>
      <c r="P14" s="89"/>
    </row>
    <row r="15" spans="1:16" ht="14.45" x14ac:dyDescent="0.35">
      <c r="A15" s="89"/>
      <c r="E15" s="337"/>
      <c r="F15" s="338"/>
      <c r="P15" s="89"/>
    </row>
    <row r="16" spans="1:16" ht="14.45" x14ac:dyDescent="0.35">
      <c r="A16" s="89"/>
      <c r="E16" s="337"/>
      <c r="F16" s="338"/>
      <c r="P16" s="89"/>
    </row>
    <row r="17" spans="1:16" ht="14.45" x14ac:dyDescent="0.35">
      <c r="A17" s="89"/>
      <c r="E17" s="337"/>
      <c r="F17" s="338"/>
      <c r="P17" s="89"/>
    </row>
    <row r="18" spans="1:16" ht="14.45" x14ac:dyDescent="0.35">
      <c r="A18" s="89"/>
      <c r="E18" s="339"/>
      <c r="F18" s="340"/>
      <c r="P18" s="89"/>
    </row>
    <row r="19" spans="1:16" ht="14.45" x14ac:dyDescent="0.35">
      <c r="A19" s="89"/>
      <c r="P19" s="89"/>
    </row>
    <row r="20" spans="1:16" ht="23.25" customHeight="1" x14ac:dyDescent="0.35">
      <c r="A20" s="89"/>
      <c r="B20" s="89"/>
      <c r="C20" s="89"/>
      <c r="D20" s="89"/>
      <c r="E20" s="89"/>
      <c r="F20" s="89"/>
      <c r="G20" s="89"/>
      <c r="H20" s="89"/>
      <c r="I20" s="89"/>
      <c r="J20" s="89"/>
      <c r="K20" s="89"/>
      <c r="L20" s="89"/>
      <c r="M20" s="89"/>
      <c r="N20" s="89"/>
      <c r="O20" s="89"/>
      <c r="P20" s="89"/>
    </row>
    <row r="21" spans="1:16" ht="14.45" x14ac:dyDescent="0.35">
      <c r="B21" s="1"/>
    </row>
  </sheetData>
  <sheetProtection sheet="1" objects="1" scenarios="1"/>
  <protectedRanges>
    <protectedRange sqref="F4:F8 C4:C8 I4:I8 L4:L8 O4:O8" name="Range1"/>
  </protectedRanges>
  <mergeCells count="5">
    <mergeCell ref="B2:C2"/>
    <mergeCell ref="E2:F2"/>
    <mergeCell ref="H2:I2"/>
    <mergeCell ref="K2:L2"/>
    <mergeCell ref="N2:O2"/>
  </mergeCells>
  <hyperlinks>
    <hyperlink ref="A1" location="HOME!A1" display="HOME"/>
  </hyperlinks>
  <printOptions horizontalCentered="1"/>
  <pageMargins left="0.70866141732283472" right="0.70866141732283472" top="0.74803149606299213" bottom="0.74803149606299213" header="0.31496062992125984" footer="0.31496062992125984"/>
  <pageSetup paperSize="9" scale="65"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16"/>
  <sheetViews>
    <sheetView showGridLines="0" zoomScale="70" zoomScaleNormal="70" workbookViewId="0">
      <pane xSplit="2" ySplit="5" topLeftCell="C6" activePane="bottomRight" state="frozen"/>
      <selection pane="topRight" activeCell="C1" sqref="C1"/>
      <selection pane="bottomLeft" activeCell="A6" sqref="A6"/>
      <selection pane="bottomRight" activeCell="C1" sqref="C1"/>
    </sheetView>
  </sheetViews>
  <sheetFormatPr defaultColWidth="9.140625" defaultRowHeight="15" x14ac:dyDescent="0.25"/>
  <cols>
    <col min="1" max="1" width="5.85546875" style="4" customWidth="1"/>
    <col min="2" max="2" width="29.140625" style="4" customWidth="1"/>
    <col min="3" max="3" width="19" style="4" customWidth="1"/>
    <col min="4" max="10" width="21.42578125" style="4" customWidth="1"/>
    <col min="11" max="11" width="5.85546875" style="4" customWidth="1"/>
    <col min="12" max="16384" width="9.140625" style="4"/>
  </cols>
  <sheetData>
    <row r="1" spans="1:11" ht="19.5" x14ac:dyDescent="0.3">
      <c r="A1" s="300"/>
      <c r="B1" s="300"/>
      <c r="C1" s="299" t="s">
        <v>255</v>
      </c>
      <c r="D1" s="300"/>
      <c r="E1" s="300"/>
      <c r="F1" s="300"/>
      <c r="G1" s="300"/>
      <c r="H1" s="300"/>
      <c r="I1" s="300"/>
      <c r="J1" s="300"/>
      <c r="K1" s="300"/>
    </row>
    <row r="2" spans="1:11" ht="15.6" x14ac:dyDescent="0.35">
      <c r="A2" s="300"/>
      <c r="B2" s="303" t="s">
        <v>266</v>
      </c>
      <c r="C2" s="102"/>
      <c r="D2" s="102"/>
      <c r="E2" s="102"/>
      <c r="F2" s="102"/>
      <c r="G2" s="63"/>
      <c r="H2" s="63"/>
      <c r="I2" s="63"/>
      <c r="J2" s="63"/>
      <c r="K2" s="300"/>
    </row>
    <row r="3" spans="1:11" ht="15.6" x14ac:dyDescent="0.35">
      <c r="A3" s="300"/>
      <c r="B3" s="63"/>
      <c r="C3" s="63"/>
      <c r="D3" s="63"/>
      <c r="E3" s="63"/>
      <c r="F3" s="63"/>
      <c r="G3" s="63"/>
      <c r="H3" s="63"/>
      <c r="I3" s="63"/>
      <c r="J3" s="63"/>
      <c r="K3" s="300"/>
    </row>
    <row r="4" spans="1:11" s="297" customFormat="1" ht="15" customHeight="1" x14ac:dyDescent="0.3">
      <c r="A4" s="301"/>
      <c r="B4" s="304" t="s">
        <v>267</v>
      </c>
      <c r="C4" s="304" t="s">
        <v>8</v>
      </c>
      <c r="D4" s="720" t="s">
        <v>270</v>
      </c>
      <c r="E4" s="720"/>
      <c r="F4" s="720"/>
      <c r="G4" s="720"/>
      <c r="H4" s="720"/>
      <c r="I4" s="720"/>
      <c r="J4" s="720"/>
      <c r="K4" s="300"/>
    </row>
    <row r="5" spans="1:11" s="297" customFormat="1" ht="15" customHeight="1" x14ac:dyDescent="0.3">
      <c r="A5" s="301"/>
      <c r="B5" s="305"/>
      <c r="C5" s="305"/>
      <c r="D5" s="306"/>
      <c r="E5" s="307"/>
      <c r="F5" s="307"/>
      <c r="G5" s="308" t="s">
        <v>12</v>
      </c>
      <c r="H5" s="307"/>
      <c r="I5" s="307"/>
      <c r="J5" s="309"/>
      <c r="K5" s="300"/>
    </row>
    <row r="6" spans="1:11" ht="46.5" x14ac:dyDescent="0.3">
      <c r="A6" s="300"/>
      <c r="B6" s="310" t="s">
        <v>354</v>
      </c>
      <c r="C6" s="310" t="s">
        <v>268</v>
      </c>
      <c r="D6" s="310" t="str">
        <f>D8</f>
        <v>PERAN HASIL (KINERJA UTAMA) 1</v>
      </c>
      <c r="E6" s="310" t="str">
        <f t="shared" ref="E6:J6" si="0">E8</f>
        <v>PERAN HASIL (KINERJA UTAMA) 2</v>
      </c>
      <c r="F6" s="310" t="str">
        <f t="shared" si="0"/>
        <v>PERAN HASIL (KINERJA UTAMA) 3</v>
      </c>
      <c r="G6" s="310" t="str">
        <f t="shared" si="0"/>
        <v>PERAN HASIL (KINERJA UTAMA) 4</v>
      </c>
      <c r="H6" s="310" t="str">
        <f t="shared" si="0"/>
        <v>PERAN HASIL (KINERJA UTAMA) 5</v>
      </c>
      <c r="I6" s="310" t="str">
        <f t="shared" si="0"/>
        <v>PERAN HASIL (KINERJA TAMBAHAN) 1</v>
      </c>
      <c r="J6" s="310" t="str">
        <f t="shared" si="0"/>
        <v>PERAN HASIL (KINERJA TAMBAHAN) 2</v>
      </c>
      <c r="K6" s="300"/>
    </row>
    <row r="7" spans="1:11" s="298" customFormat="1" ht="183.75" customHeight="1" x14ac:dyDescent="0.25">
      <c r="A7" s="302"/>
      <c r="B7" s="313" t="s">
        <v>449</v>
      </c>
      <c r="C7" s="504" t="s">
        <v>142</v>
      </c>
      <c r="D7" s="505" t="s">
        <v>473</v>
      </c>
      <c r="E7" s="505" t="s">
        <v>474</v>
      </c>
      <c r="F7" s="505" t="s">
        <v>474</v>
      </c>
      <c r="G7" s="505" t="s">
        <v>475</v>
      </c>
      <c r="H7" s="505" t="s">
        <v>476</v>
      </c>
      <c r="I7" s="471" t="s">
        <v>395</v>
      </c>
      <c r="J7" s="506" t="s">
        <v>476</v>
      </c>
      <c r="K7" s="300"/>
    </row>
    <row r="8" spans="1:11" s="298" customFormat="1" ht="46.5" x14ac:dyDescent="0.3">
      <c r="A8" s="302"/>
      <c r="B8" s="319" t="s">
        <v>269</v>
      </c>
      <c r="C8" s="319" t="s">
        <v>268</v>
      </c>
      <c r="D8" s="311" t="str">
        <f>"PERAN HASIL (KINERJA UTAMA) "&amp;'SKP JF (KUANTITATIF)'!B17&amp;""</f>
        <v>PERAN HASIL (KINERJA UTAMA) 1</v>
      </c>
      <c r="E8" s="311" t="str">
        <f>"PERAN HASIL (KINERJA UTAMA) "&amp;'SKP JF (KUANTITATIF)'!B20&amp;""</f>
        <v>PERAN HASIL (KINERJA UTAMA) 2</v>
      </c>
      <c r="F8" s="311" t="str">
        <f>"PERAN HASIL (KINERJA UTAMA) "&amp;'SKP JF (KUANTITATIF)'!B23&amp;""</f>
        <v>PERAN HASIL (KINERJA UTAMA) 3</v>
      </c>
      <c r="G8" s="311" t="str">
        <f>"PERAN HASIL (KINERJA UTAMA) "&amp;'SKP JF (KUANTITATIF)'!B26&amp;""</f>
        <v>PERAN HASIL (KINERJA UTAMA) 4</v>
      </c>
      <c r="H8" s="311" t="str">
        <f>"PERAN HASIL (KINERJA UTAMA) "&amp;'SKP JF (KUANTITATIF)'!B29&amp;""</f>
        <v>PERAN HASIL (KINERJA UTAMA) 5</v>
      </c>
      <c r="I8" s="311" t="str">
        <f>"PERAN HASIL (KINERJA TAMBAHAN) "&amp;'SKP JF (KUANTITATIF)'!B33&amp;""</f>
        <v>PERAN HASIL (KINERJA TAMBAHAN) 1</v>
      </c>
      <c r="J8" s="311" t="str">
        <f>"PERAN HASIL (KINERJA TAMBAHAN) "&amp;'SKP JF (KUANTITATIF)'!B36&amp;""</f>
        <v>PERAN HASIL (KINERJA TAMBAHAN) 2</v>
      </c>
      <c r="K8" s="300"/>
    </row>
    <row r="9" spans="1:11" s="298" customFormat="1" ht="15.6" x14ac:dyDescent="0.3">
      <c r="A9" s="302"/>
      <c r="B9" s="320"/>
      <c r="C9" s="320"/>
      <c r="D9" s="721" t="s">
        <v>355</v>
      </c>
      <c r="E9" s="722"/>
      <c r="F9" s="722"/>
      <c r="G9" s="722"/>
      <c r="H9" s="722"/>
      <c r="I9" s="722"/>
      <c r="J9" s="723"/>
      <c r="K9" s="300"/>
    </row>
    <row r="10" spans="1:11" ht="207" customHeight="1" x14ac:dyDescent="0.25">
      <c r="A10" s="300"/>
      <c r="B10" s="314" t="s">
        <v>408</v>
      </c>
      <c r="C10" s="471" t="s">
        <v>125</v>
      </c>
      <c r="D10" s="312" t="s">
        <v>453</v>
      </c>
      <c r="E10" s="312" t="s">
        <v>454</v>
      </c>
      <c r="F10" s="312" t="s">
        <v>455</v>
      </c>
      <c r="G10" s="312" t="s">
        <v>456</v>
      </c>
      <c r="H10" s="312" t="s">
        <v>388</v>
      </c>
      <c r="I10" s="312" t="s">
        <v>477</v>
      </c>
      <c r="J10" s="312" t="s">
        <v>389</v>
      </c>
      <c r="K10" s="300"/>
    </row>
    <row r="11" spans="1:11" ht="155.1" x14ac:dyDescent="0.3">
      <c r="A11" s="300"/>
      <c r="B11" s="314" t="s">
        <v>337</v>
      </c>
      <c r="C11" s="471"/>
      <c r="D11" s="312" t="s">
        <v>409</v>
      </c>
      <c r="E11" s="312" t="s">
        <v>410</v>
      </c>
      <c r="F11" s="312" t="s">
        <v>411</v>
      </c>
      <c r="G11" s="312" t="s">
        <v>412</v>
      </c>
      <c r="H11" s="472" t="s">
        <v>413</v>
      </c>
      <c r="I11" s="312" t="s">
        <v>414</v>
      </c>
      <c r="J11" s="312" t="s">
        <v>415</v>
      </c>
      <c r="K11" s="300"/>
    </row>
    <row r="12" spans="1:11" ht="123.95" x14ac:dyDescent="0.3">
      <c r="A12" s="300"/>
      <c r="B12" s="314" t="s">
        <v>345</v>
      </c>
      <c r="C12" s="471"/>
      <c r="D12" s="312" t="s">
        <v>416</v>
      </c>
      <c r="E12" s="312" t="s">
        <v>417</v>
      </c>
      <c r="F12" s="312" t="s">
        <v>418</v>
      </c>
      <c r="G12" s="312" t="s">
        <v>419</v>
      </c>
      <c r="H12" s="312" t="s">
        <v>420</v>
      </c>
      <c r="I12" s="312" t="s">
        <v>421</v>
      </c>
      <c r="J12" s="312" t="s">
        <v>415</v>
      </c>
      <c r="K12" s="300"/>
    </row>
    <row r="13" spans="1:11" ht="27.75" customHeight="1" x14ac:dyDescent="0.25">
      <c r="A13" s="300"/>
      <c r="B13" s="314" t="s">
        <v>353</v>
      </c>
      <c r="C13" s="471" t="s">
        <v>102</v>
      </c>
      <c r="D13" s="356" t="s">
        <v>102</v>
      </c>
      <c r="E13" s="356" t="s">
        <v>102</v>
      </c>
      <c r="F13" s="356" t="s">
        <v>102</v>
      </c>
      <c r="G13" s="356" t="s">
        <v>102</v>
      </c>
      <c r="H13" s="356" t="s">
        <v>102</v>
      </c>
      <c r="I13" s="356" t="s">
        <v>102</v>
      </c>
      <c r="J13" s="356" t="s">
        <v>102</v>
      </c>
      <c r="K13" s="300"/>
    </row>
    <row r="14" spans="1:11" x14ac:dyDescent="0.25">
      <c r="A14" s="300"/>
      <c r="K14" s="300"/>
    </row>
    <row r="15" spans="1:11" x14ac:dyDescent="0.25">
      <c r="A15" s="300"/>
      <c r="B15" s="300"/>
      <c r="C15" s="300"/>
      <c r="D15" s="300"/>
      <c r="E15" s="300"/>
      <c r="F15" s="300"/>
      <c r="G15" s="300"/>
      <c r="H15" s="300"/>
      <c r="I15" s="300"/>
      <c r="J15" s="300"/>
      <c r="K15" s="300"/>
    </row>
    <row r="16" spans="1:11" x14ac:dyDescent="0.25">
      <c r="A16" s="300"/>
      <c r="B16" s="300"/>
      <c r="C16" s="300"/>
      <c r="D16" s="300"/>
      <c r="E16" s="300"/>
      <c r="F16" s="300"/>
      <c r="G16" s="300"/>
      <c r="H16" s="300"/>
      <c r="I16" s="300"/>
      <c r="J16" s="300"/>
      <c r="K16" s="300"/>
    </row>
  </sheetData>
  <sheetProtection sheet="1" objects="1" scenarios="1"/>
  <protectedRanges>
    <protectedRange sqref="B7:J7 B10:J13" name="Range2"/>
    <protectedRange sqref="H11" name="Range1"/>
  </protectedRanges>
  <mergeCells count="2">
    <mergeCell ref="D4:J4"/>
    <mergeCell ref="D9:J9"/>
  </mergeCells>
  <hyperlinks>
    <hyperlink ref="C1" location="HOME!A1" display="HOME"/>
  </hyperlinks>
  <printOptions horizontalCentered="1"/>
  <pageMargins left="0.59055118110236227" right="0.39370078740157483" top="0.78740157480314965" bottom="0.39370078740157483" header="0.31496062992125984" footer="0.31496062992125984"/>
  <pageSetup paperSize="9" scale="6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G44"/>
  <sheetViews>
    <sheetView showGridLines="0" zoomScaleNormal="100" workbookViewId="0">
      <pane xSplit="2" ySplit="5" topLeftCell="C35" activePane="bottomRight" state="frozen"/>
      <selection pane="topRight" activeCell="C1" sqref="C1"/>
      <selection pane="bottomLeft" activeCell="A4" sqref="A4"/>
      <selection pane="bottomRight" activeCell="B1" sqref="B1"/>
    </sheetView>
  </sheetViews>
  <sheetFormatPr defaultColWidth="9.140625" defaultRowHeight="15.75" x14ac:dyDescent="0.25"/>
  <cols>
    <col min="1" max="1" width="4.5703125" style="63" customWidth="1"/>
    <col min="2" max="2" width="7.42578125" style="71" customWidth="1"/>
    <col min="3" max="3" width="71.5703125" style="84" customWidth="1"/>
    <col min="4" max="4" width="4.7109375" style="63" customWidth="1"/>
    <col min="5" max="5" width="7.42578125" style="71" customWidth="1"/>
    <col min="6" max="6" width="71.5703125" style="84" customWidth="1"/>
    <col min="7" max="7" width="4.5703125" style="63" customWidth="1"/>
    <col min="8" max="16384" width="9.140625" style="63"/>
  </cols>
  <sheetData>
    <row r="1" spans="1:7" ht="17.45" x14ac:dyDescent="0.35">
      <c r="A1" s="234"/>
      <c r="B1" s="72" t="s">
        <v>255</v>
      </c>
      <c r="C1" s="234"/>
      <c r="D1" s="234"/>
      <c r="E1" s="234"/>
      <c r="F1" s="234"/>
      <c r="G1" s="234"/>
    </row>
    <row r="2" spans="1:7" ht="15.6" x14ac:dyDescent="0.35">
      <c r="A2" s="234"/>
      <c r="C2" s="372" t="s">
        <v>350</v>
      </c>
      <c r="D2" s="71"/>
      <c r="F2" s="71"/>
      <c r="G2" s="234"/>
    </row>
    <row r="3" spans="1:7" ht="15.6" x14ac:dyDescent="0.35">
      <c r="A3" s="234"/>
      <c r="C3" s="84" t="s">
        <v>386</v>
      </c>
      <c r="E3" s="84" t="s">
        <v>387</v>
      </c>
      <c r="G3" s="234"/>
    </row>
    <row r="4" spans="1:7" ht="15.6" x14ac:dyDescent="0.35">
      <c r="A4" s="234"/>
      <c r="C4" s="332" t="s">
        <v>333</v>
      </c>
      <c r="E4" s="333" t="s">
        <v>338</v>
      </c>
      <c r="G4" s="234"/>
    </row>
    <row r="5" spans="1:7" ht="15.6" x14ac:dyDescent="0.35">
      <c r="A5" s="234"/>
      <c r="B5" s="389" t="s">
        <v>147</v>
      </c>
      <c r="C5" s="390" t="s">
        <v>334</v>
      </c>
      <c r="D5" s="372"/>
      <c r="E5" s="391" t="s">
        <v>147</v>
      </c>
      <c r="F5" s="384" t="s">
        <v>15</v>
      </c>
      <c r="G5" s="234"/>
    </row>
    <row r="6" spans="1:7" s="372" customFormat="1" ht="15" x14ac:dyDescent="0.3">
      <c r="A6" s="369"/>
      <c r="B6" s="370" t="s">
        <v>76</v>
      </c>
      <c r="C6" s="371" t="s">
        <v>356</v>
      </c>
      <c r="E6" s="370" t="s">
        <v>79</v>
      </c>
      <c r="F6" s="371" t="s">
        <v>143</v>
      </c>
      <c r="G6" s="369"/>
    </row>
    <row r="7" spans="1:7" s="372" customFormat="1" ht="15" x14ac:dyDescent="0.3">
      <c r="A7" s="369"/>
      <c r="B7" s="370"/>
      <c r="C7" s="371" t="s">
        <v>342</v>
      </c>
      <c r="E7" s="370"/>
      <c r="F7" s="371" t="s">
        <v>344</v>
      </c>
      <c r="G7" s="369"/>
    </row>
    <row r="8" spans="1:7" ht="47.25" x14ac:dyDescent="0.25">
      <c r="A8" s="234"/>
      <c r="B8" s="74" t="s">
        <v>156</v>
      </c>
      <c r="C8" s="82" t="s">
        <v>465</v>
      </c>
      <c r="D8" s="77"/>
      <c r="E8" s="74" t="s">
        <v>162</v>
      </c>
      <c r="F8" s="82" t="s">
        <v>453</v>
      </c>
      <c r="G8" s="234"/>
    </row>
    <row r="9" spans="1:7" ht="31.5" x14ac:dyDescent="0.25">
      <c r="A9" s="234"/>
      <c r="B9" s="74" t="s">
        <v>157</v>
      </c>
      <c r="C9" s="81" t="s">
        <v>466</v>
      </c>
      <c r="D9" s="77"/>
      <c r="E9" s="74" t="s">
        <v>163</v>
      </c>
      <c r="F9" s="81" t="s">
        <v>454</v>
      </c>
      <c r="G9" s="234"/>
    </row>
    <row r="10" spans="1:7" ht="30.95" x14ac:dyDescent="0.35">
      <c r="A10" s="234"/>
      <c r="B10" s="74" t="s">
        <v>158</v>
      </c>
      <c r="C10" s="82" t="s">
        <v>437</v>
      </c>
      <c r="D10" s="77"/>
      <c r="E10" s="74" t="s">
        <v>164</v>
      </c>
      <c r="F10" s="82" t="s">
        <v>455</v>
      </c>
      <c r="G10" s="234"/>
    </row>
    <row r="11" spans="1:7" ht="46.5" x14ac:dyDescent="0.35">
      <c r="A11" s="234"/>
      <c r="B11" s="468"/>
      <c r="C11" s="386" t="s">
        <v>343</v>
      </c>
      <c r="D11" s="77"/>
      <c r="E11" s="74" t="s">
        <v>346</v>
      </c>
      <c r="F11" s="81" t="s">
        <v>456</v>
      </c>
      <c r="G11" s="234"/>
    </row>
    <row r="12" spans="1:7" ht="31.5" x14ac:dyDescent="0.25">
      <c r="A12" s="234"/>
      <c r="B12" s="74" t="s">
        <v>335</v>
      </c>
      <c r="C12" s="81" t="s">
        <v>467</v>
      </c>
      <c r="D12" s="77"/>
      <c r="E12" s="74" t="s">
        <v>347</v>
      </c>
      <c r="F12" s="82" t="s">
        <v>388</v>
      </c>
      <c r="G12" s="234"/>
    </row>
    <row r="13" spans="1:7" ht="52.5" customHeight="1" x14ac:dyDescent="0.25">
      <c r="A13" s="234"/>
      <c r="B13" s="74" t="s">
        <v>336</v>
      </c>
      <c r="C13" s="82" t="s">
        <v>468</v>
      </c>
      <c r="D13" s="77"/>
      <c r="E13" s="74" t="s">
        <v>191</v>
      </c>
      <c r="F13" s="81" t="s">
        <v>427</v>
      </c>
      <c r="G13" s="234"/>
    </row>
    <row r="14" spans="1:7" ht="62.1" x14ac:dyDescent="0.35">
      <c r="A14" s="234"/>
      <c r="B14" s="74"/>
      <c r="C14" s="82"/>
      <c r="D14" s="77"/>
      <c r="E14" s="74" t="s">
        <v>192</v>
      </c>
      <c r="F14" s="81" t="s">
        <v>429</v>
      </c>
      <c r="G14" s="234"/>
    </row>
    <row r="15" spans="1:7" ht="62.1" x14ac:dyDescent="0.35">
      <c r="A15" s="234"/>
      <c r="B15" s="74"/>
      <c r="C15" s="82"/>
      <c r="D15" s="77"/>
      <c r="E15" s="74" t="s">
        <v>193</v>
      </c>
      <c r="F15" s="81" t="s">
        <v>428</v>
      </c>
      <c r="G15" s="234"/>
    </row>
    <row r="16" spans="1:7" s="372" customFormat="1" ht="15.6" x14ac:dyDescent="0.3">
      <c r="A16" s="369"/>
      <c r="B16" s="370" t="s">
        <v>78</v>
      </c>
      <c r="C16" s="371" t="s">
        <v>351</v>
      </c>
      <c r="E16" s="74" t="s">
        <v>431</v>
      </c>
      <c r="F16" s="82" t="s">
        <v>430</v>
      </c>
      <c r="G16" s="369"/>
    </row>
    <row r="17" spans="1:7" ht="15.6" x14ac:dyDescent="0.35">
      <c r="A17" s="234"/>
      <c r="B17" s="370"/>
      <c r="C17" s="371" t="s">
        <v>342</v>
      </c>
      <c r="D17" s="77"/>
      <c r="E17" s="468"/>
      <c r="F17" s="386" t="s">
        <v>343</v>
      </c>
      <c r="G17" s="234"/>
    </row>
    <row r="18" spans="1:7" ht="31.5" x14ac:dyDescent="0.25">
      <c r="A18" s="234"/>
      <c r="B18" s="74" t="s">
        <v>159</v>
      </c>
      <c r="C18" s="82" t="s">
        <v>469</v>
      </c>
      <c r="D18" s="77"/>
      <c r="E18" s="74" t="s">
        <v>348</v>
      </c>
      <c r="F18" s="82" t="s">
        <v>390</v>
      </c>
      <c r="G18" s="234"/>
    </row>
    <row r="19" spans="1:7" ht="49.5" customHeight="1" x14ac:dyDescent="0.25">
      <c r="A19" s="234"/>
      <c r="B19" s="74" t="s">
        <v>160</v>
      </c>
      <c r="C19" s="81" t="s">
        <v>470</v>
      </c>
      <c r="D19" s="77"/>
      <c r="E19" s="74" t="s">
        <v>349</v>
      </c>
      <c r="F19" s="81" t="s">
        <v>389</v>
      </c>
      <c r="G19" s="234"/>
    </row>
    <row r="20" spans="1:7" ht="50.25" customHeight="1" x14ac:dyDescent="0.25">
      <c r="A20" s="234"/>
      <c r="B20" s="74" t="s">
        <v>161</v>
      </c>
      <c r="C20" s="385" t="s">
        <v>471</v>
      </c>
      <c r="D20" s="77"/>
      <c r="E20" s="370" t="s">
        <v>81</v>
      </c>
      <c r="F20" s="386" t="s">
        <v>337</v>
      </c>
      <c r="G20" s="234"/>
    </row>
    <row r="21" spans="1:7" ht="47.25" x14ac:dyDescent="0.25">
      <c r="A21" s="234"/>
      <c r="B21" s="468"/>
      <c r="C21" s="386" t="s">
        <v>396</v>
      </c>
      <c r="D21" s="77"/>
      <c r="E21" s="74" t="s">
        <v>165</v>
      </c>
      <c r="F21" s="81" t="s">
        <v>391</v>
      </c>
      <c r="G21" s="234"/>
    </row>
    <row r="22" spans="1:7" ht="47.25" x14ac:dyDescent="0.25">
      <c r="A22" s="234"/>
      <c r="B22" s="74" t="s">
        <v>339</v>
      </c>
      <c r="C22" s="81" t="s">
        <v>422</v>
      </c>
      <c r="D22" s="77"/>
      <c r="E22" s="473" t="s">
        <v>166</v>
      </c>
      <c r="F22" s="82" t="s">
        <v>398</v>
      </c>
      <c r="G22" s="234"/>
    </row>
    <row r="23" spans="1:7" ht="47.25" x14ac:dyDescent="0.25">
      <c r="A23" s="234"/>
      <c r="B23" s="74" t="s">
        <v>340</v>
      </c>
      <c r="C23" s="385" t="s">
        <v>468</v>
      </c>
      <c r="D23" s="77"/>
      <c r="E23" s="74" t="s">
        <v>167</v>
      </c>
      <c r="F23" s="81" t="s">
        <v>401</v>
      </c>
      <c r="G23" s="234"/>
    </row>
    <row r="24" spans="1:7" ht="47.25" x14ac:dyDescent="0.25">
      <c r="A24" s="234"/>
      <c r="B24" s="370" t="s">
        <v>81</v>
      </c>
      <c r="C24" s="371" t="s">
        <v>337</v>
      </c>
      <c r="D24" s="77"/>
      <c r="E24" s="74" t="s">
        <v>376</v>
      </c>
      <c r="F24" s="82" t="s">
        <v>400</v>
      </c>
      <c r="G24" s="234"/>
    </row>
    <row r="25" spans="1:7" ht="31.5" x14ac:dyDescent="0.25">
      <c r="A25" s="234"/>
      <c r="B25" s="74" t="s">
        <v>165</v>
      </c>
      <c r="C25" s="82" t="s">
        <v>434</v>
      </c>
      <c r="D25" s="77"/>
      <c r="E25" s="74" t="s">
        <v>377</v>
      </c>
      <c r="F25" s="385" t="s">
        <v>472</v>
      </c>
      <c r="G25" s="234"/>
    </row>
    <row r="26" spans="1:7" ht="47.25" x14ac:dyDescent="0.25">
      <c r="A26" s="234"/>
      <c r="B26" s="74" t="s">
        <v>166</v>
      </c>
      <c r="C26" s="81" t="s">
        <v>398</v>
      </c>
      <c r="D26" s="77"/>
      <c r="E26" s="74"/>
      <c r="F26" s="82"/>
      <c r="G26" s="234"/>
    </row>
    <row r="27" spans="1:7" ht="47.25" x14ac:dyDescent="0.25">
      <c r="A27" s="234"/>
      <c r="B27" s="74" t="s">
        <v>167</v>
      </c>
      <c r="C27" s="82" t="s">
        <v>393</v>
      </c>
      <c r="D27" s="77"/>
      <c r="E27" s="74"/>
      <c r="F27" s="81"/>
      <c r="G27" s="234"/>
    </row>
    <row r="28" spans="1:7" ht="47.25" x14ac:dyDescent="0.25">
      <c r="A28" s="234"/>
      <c r="B28" s="74" t="s">
        <v>376</v>
      </c>
      <c r="C28" s="81" t="s">
        <v>400</v>
      </c>
      <c r="D28" s="77"/>
      <c r="E28" s="370"/>
      <c r="F28" s="386" t="s">
        <v>341</v>
      </c>
      <c r="G28" s="234"/>
    </row>
    <row r="29" spans="1:7" ht="31.5" x14ac:dyDescent="0.25">
      <c r="A29" s="234"/>
      <c r="B29" s="468"/>
      <c r="C29" s="386" t="s">
        <v>341</v>
      </c>
      <c r="D29" s="76"/>
      <c r="E29" s="74" t="s">
        <v>378</v>
      </c>
      <c r="F29" s="81" t="s">
        <v>450</v>
      </c>
      <c r="G29" s="234"/>
    </row>
    <row r="30" spans="1:7" ht="31.5" x14ac:dyDescent="0.25">
      <c r="A30" s="234"/>
      <c r="B30" s="74" t="s">
        <v>377</v>
      </c>
      <c r="C30" s="82" t="s">
        <v>425</v>
      </c>
      <c r="D30" s="76"/>
      <c r="E30" s="74" t="s">
        <v>379</v>
      </c>
      <c r="F30" s="82" t="s">
        <v>392</v>
      </c>
      <c r="G30" s="234"/>
    </row>
    <row r="31" spans="1:7" ht="31.5" x14ac:dyDescent="0.25">
      <c r="A31" s="234"/>
      <c r="B31" s="74" t="s">
        <v>378</v>
      </c>
      <c r="C31" s="81" t="s">
        <v>423</v>
      </c>
      <c r="E31" s="370" t="s">
        <v>85</v>
      </c>
      <c r="F31" s="386" t="s">
        <v>345</v>
      </c>
      <c r="G31" s="234"/>
    </row>
    <row r="32" spans="1:7" ht="47.25" x14ac:dyDescent="0.25">
      <c r="A32" s="234"/>
      <c r="B32" s="74"/>
      <c r="C32" s="81"/>
      <c r="E32" s="74" t="s">
        <v>168</v>
      </c>
      <c r="F32" s="82" t="s">
        <v>402</v>
      </c>
      <c r="G32" s="234"/>
    </row>
    <row r="33" spans="1:7" ht="47.25" x14ac:dyDescent="0.25">
      <c r="A33" s="234"/>
      <c r="B33" s="74"/>
      <c r="C33" s="82"/>
      <c r="E33" s="74" t="s">
        <v>169</v>
      </c>
      <c r="F33" s="81" t="s">
        <v>403</v>
      </c>
      <c r="G33" s="234"/>
    </row>
    <row r="34" spans="1:7" ht="47.25" x14ac:dyDescent="0.25">
      <c r="A34" s="234"/>
      <c r="B34" s="74"/>
      <c r="C34" s="81"/>
      <c r="E34" s="74" t="s">
        <v>170</v>
      </c>
      <c r="F34" s="82" t="s">
        <v>394</v>
      </c>
      <c r="G34" s="234"/>
    </row>
    <row r="35" spans="1:7" ht="47.25" x14ac:dyDescent="0.25">
      <c r="A35" s="234"/>
      <c r="B35" s="74"/>
      <c r="C35" s="82"/>
      <c r="E35" s="74" t="s">
        <v>380</v>
      </c>
      <c r="F35" s="82" t="s">
        <v>404</v>
      </c>
      <c r="G35" s="234"/>
    </row>
    <row r="36" spans="1:7" ht="31.5" x14ac:dyDescent="0.25">
      <c r="A36" s="234"/>
      <c r="B36" s="74"/>
      <c r="C36" s="81"/>
      <c r="E36" s="74" t="s">
        <v>381</v>
      </c>
      <c r="F36" s="81" t="s">
        <v>399</v>
      </c>
      <c r="G36" s="234"/>
    </row>
    <row r="37" spans="1:7" x14ac:dyDescent="0.25">
      <c r="A37" s="234"/>
      <c r="B37" s="74"/>
      <c r="C37" s="82"/>
      <c r="E37" s="74"/>
      <c r="F37" s="81"/>
      <c r="G37" s="234"/>
    </row>
    <row r="38" spans="1:7" x14ac:dyDescent="0.25">
      <c r="A38" s="234"/>
      <c r="B38" s="74"/>
      <c r="C38" s="385"/>
      <c r="E38" s="74"/>
      <c r="F38" s="82"/>
      <c r="G38" s="234"/>
    </row>
    <row r="39" spans="1:7" x14ac:dyDescent="0.25">
      <c r="A39" s="234"/>
      <c r="B39" s="74"/>
      <c r="C39" s="82"/>
      <c r="E39" s="468"/>
      <c r="F39" s="474" t="s">
        <v>341</v>
      </c>
      <c r="G39" s="234"/>
    </row>
    <row r="40" spans="1:7" ht="31.5" x14ac:dyDescent="0.25">
      <c r="A40" s="234"/>
      <c r="B40" s="74"/>
      <c r="C40" s="385"/>
      <c r="E40" s="74" t="s">
        <v>382</v>
      </c>
      <c r="F40" s="81" t="s">
        <v>451</v>
      </c>
      <c r="G40" s="234"/>
    </row>
    <row r="41" spans="1:7" ht="31.5" x14ac:dyDescent="0.25">
      <c r="A41" s="234"/>
      <c r="B41" s="434"/>
      <c r="C41" s="82"/>
      <c r="E41" s="74" t="s">
        <v>383</v>
      </c>
      <c r="F41" s="82" t="s">
        <v>424</v>
      </c>
      <c r="G41" s="234"/>
    </row>
    <row r="42" spans="1:7" x14ac:dyDescent="0.25">
      <c r="A42" s="234"/>
      <c r="B42" s="387"/>
      <c r="C42" s="388"/>
      <c r="E42" s="433"/>
      <c r="F42" s="388"/>
      <c r="G42" s="234"/>
    </row>
    <row r="43" spans="1:7" x14ac:dyDescent="0.25">
      <c r="A43" s="234"/>
      <c r="B43" s="387"/>
      <c r="C43" s="388"/>
      <c r="E43" s="63"/>
      <c r="F43" s="63"/>
      <c r="G43" s="234"/>
    </row>
    <row r="44" spans="1:7" x14ac:dyDescent="0.25">
      <c r="A44" s="234"/>
      <c r="B44" s="234"/>
      <c r="C44" s="234"/>
      <c r="D44" s="234"/>
      <c r="E44" s="234"/>
      <c r="F44" s="234"/>
      <c r="G44" s="234"/>
    </row>
  </sheetData>
  <sheetProtection sheet="1" objects="1" scenarios="1"/>
  <protectedRanges>
    <protectedRange sqref="E6:F42 B6:C42" name="Range1"/>
  </protectedRanges>
  <hyperlinks>
    <hyperlink ref="B1" location="HOME!A1" display="HOME"/>
  </hyperlinks>
  <printOptions horizontalCentered="1"/>
  <pageMargins left="0.59055118110236227" right="0.59055118110236227" top="0.78740157480314965" bottom="0.39370078740157483" header="0.31496062992125984" footer="0.19685039370078741"/>
  <pageSetup paperSize="9" scale="74" orientation="landscape" horizontalDpi="4294967293" verticalDpi="0" r:id="rId1"/>
  <headerFooter>
    <oddFooter>&amp;CPERILAKU KERJA-EKSPETASI-UMPAN BALIK&amp;R&amp;P</oddFooter>
  </headerFooter>
  <rowBreaks count="1" manualBreakCount="1">
    <brk id="23" min="1" max="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8"/>
  </sheetPr>
  <dimension ref="B1:S46"/>
  <sheetViews>
    <sheetView showGridLines="0" zoomScaleNormal="100" zoomScaleSheetLayoutView="95" workbookViewId="0">
      <pane xSplit="5" ySplit="1" topLeftCell="F2" activePane="bottomRight" state="frozen"/>
      <selection activeCell="D22" sqref="D22"/>
      <selection pane="topRight" activeCell="D22" sqref="D22"/>
      <selection pane="bottomLeft" activeCell="D22" sqref="D22"/>
      <selection pane="bottomRight" activeCell="D1" sqref="D1"/>
    </sheetView>
  </sheetViews>
  <sheetFormatPr defaultColWidth="9.140625" defaultRowHeight="12.75" x14ac:dyDescent="0.2"/>
  <cols>
    <col min="1" max="1" width="4.42578125" style="33" customWidth="1"/>
    <col min="2" max="2" width="3.28515625" style="33" customWidth="1"/>
    <col min="3" max="3" width="3.140625" style="33" customWidth="1"/>
    <col min="4" max="4" width="23.7109375" style="33" customWidth="1"/>
    <col min="5" max="5" width="3.42578125" style="33" customWidth="1"/>
    <col min="6" max="6" width="19.7109375" style="33" customWidth="1"/>
    <col min="7" max="7" width="4.140625" style="33" customWidth="1"/>
    <col min="8" max="8" width="17.7109375" style="33" customWidth="1"/>
    <col min="9" max="10" width="3.85546875" style="33" customWidth="1"/>
    <col min="11" max="11" width="3.42578125" style="33" customWidth="1"/>
    <col min="12" max="12" width="9.140625" style="33"/>
    <col min="13" max="13" width="16.7109375" style="33" customWidth="1"/>
    <col min="14" max="14" width="7.140625" style="33" customWidth="1"/>
    <col min="15" max="15" width="17" style="33" customWidth="1"/>
    <col min="16" max="16" width="15.140625" style="33" customWidth="1"/>
    <col min="17" max="17" width="3.85546875" style="33" customWidth="1"/>
    <col min="18" max="16384" width="9.140625" style="33"/>
  </cols>
  <sheetData>
    <row r="1" spans="2:19" s="21" customFormat="1" ht="29.25" customHeight="1" x14ac:dyDescent="0.35">
      <c r="F1" s="66" t="str">
        <f>HOME!E1&amp;""</f>
        <v>KEPALA SEKOLAH</v>
      </c>
      <c r="L1" s="72" t="s">
        <v>255</v>
      </c>
      <c r="P1" s="22" t="s">
        <v>108</v>
      </c>
    </row>
    <row r="2" spans="2:19" s="28" customFormat="1" ht="15" x14ac:dyDescent="0.35">
      <c r="B2" s="23"/>
      <c r="C2" s="24" t="s">
        <v>272</v>
      </c>
      <c r="D2" s="23"/>
      <c r="E2" s="23"/>
      <c r="F2" s="23"/>
      <c r="G2" s="23"/>
      <c r="H2" s="23"/>
      <c r="I2" s="25"/>
      <c r="J2" s="26"/>
      <c r="K2" s="27" t="str">
        <f>"JANUARI - DESEMBER "&amp;P5&amp;""</f>
        <v>JANUARI - DESEMBER 2022</v>
      </c>
      <c r="L2" s="26"/>
      <c r="M2" s="26"/>
      <c r="N2" s="26"/>
      <c r="O2" s="26"/>
      <c r="P2" s="25"/>
      <c r="Q2" s="26"/>
    </row>
    <row r="3" spans="2:19" ht="16.5" x14ac:dyDescent="0.35">
      <c r="B3" s="29"/>
      <c r="C3" s="30" t="s">
        <v>109</v>
      </c>
      <c r="D3" s="29"/>
      <c r="E3" s="29"/>
      <c r="F3" s="29"/>
      <c r="G3" s="29"/>
      <c r="H3" s="29"/>
      <c r="I3" s="31"/>
      <c r="J3" s="29"/>
      <c r="K3" s="29"/>
      <c r="L3" s="29"/>
      <c r="M3" s="29"/>
      <c r="N3" s="29"/>
      <c r="O3" s="29"/>
      <c r="P3" s="32" t="s">
        <v>110</v>
      </c>
      <c r="Q3" s="26"/>
    </row>
    <row r="4" spans="2:19" s="28" customFormat="1" ht="12.75" customHeight="1" x14ac:dyDescent="0.3">
      <c r="B4" s="34"/>
      <c r="C4" s="35" t="s">
        <v>3</v>
      </c>
      <c r="D4" s="36"/>
      <c r="E4" s="34"/>
      <c r="F4" s="37"/>
      <c r="G4" s="34"/>
      <c r="H4" s="34"/>
      <c r="I4" s="34"/>
      <c r="J4" s="38"/>
      <c r="K4" s="39" t="s">
        <v>111</v>
      </c>
      <c r="L4" s="40"/>
      <c r="M4" s="38"/>
      <c r="N4" s="132" t="s">
        <v>278</v>
      </c>
      <c r="O4" s="41"/>
      <c r="P4" s="42" t="s">
        <v>112</v>
      </c>
      <c r="Q4" s="26"/>
    </row>
    <row r="5" spans="2:19" s="28" customFormat="1" ht="12.75" customHeight="1" x14ac:dyDescent="0.3">
      <c r="B5" s="34"/>
      <c r="C5" s="23" t="s">
        <v>113</v>
      </c>
      <c r="D5" s="43" t="s">
        <v>114</v>
      </c>
      <c r="E5" s="34"/>
      <c r="F5" s="724" t="s">
        <v>481</v>
      </c>
      <c r="G5" s="724"/>
      <c r="H5" s="724"/>
      <c r="I5" s="34"/>
      <c r="J5" s="38"/>
      <c r="K5" s="39" t="s">
        <v>115</v>
      </c>
      <c r="L5" s="40"/>
      <c r="M5" s="38"/>
      <c r="N5" s="131"/>
      <c r="O5" s="38"/>
      <c r="P5" s="44" t="str">
        <f>N17</f>
        <v>2022</v>
      </c>
      <c r="Q5" s="26"/>
    </row>
    <row r="6" spans="2:19" s="28" customFormat="1" ht="15" x14ac:dyDescent="0.3">
      <c r="B6" s="34"/>
      <c r="C6" s="23" t="s">
        <v>116</v>
      </c>
      <c r="D6" s="43" t="s">
        <v>6</v>
      </c>
      <c r="E6" s="34"/>
      <c r="F6" s="725" t="s">
        <v>482</v>
      </c>
      <c r="G6" s="725"/>
      <c r="H6" s="725"/>
      <c r="I6" s="34"/>
      <c r="J6" s="38"/>
      <c r="K6" s="38" t="s">
        <v>117</v>
      </c>
      <c r="L6" s="40"/>
      <c r="M6" s="38"/>
      <c r="N6" s="133" t="s">
        <v>118</v>
      </c>
      <c r="O6" s="38"/>
      <c r="P6" s="42" t="str">
        <f>N18</f>
        <v>BAIK</v>
      </c>
      <c r="Q6" s="26"/>
    </row>
    <row r="7" spans="2:19" s="28" customFormat="1" ht="12.75" customHeight="1" x14ac:dyDescent="0.35">
      <c r="B7" s="34"/>
      <c r="C7" s="23" t="s">
        <v>119</v>
      </c>
      <c r="D7" s="43" t="s">
        <v>120</v>
      </c>
      <c r="E7" s="34"/>
      <c r="F7" s="46" t="s">
        <v>478</v>
      </c>
      <c r="G7" s="47" t="s">
        <v>479</v>
      </c>
      <c r="H7" s="48"/>
      <c r="I7" s="34"/>
      <c r="J7" s="38"/>
      <c r="K7" s="38" t="s">
        <v>121</v>
      </c>
      <c r="L7" s="40"/>
      <c r="M7" s="38"/>
      <c r="N7" s="133" t="s">
        <v>122</v>
      </c>
      <c r="O7" s="38"/>
      <c r="P7" s="45"/>
      <c r="Q7" s="26"/>
      <c r="S7" s="73"/>
    </row>
    <row r="8" spans="2:19" s="28" customFormat="1" ht="12.75" customHeight="1" x14ac:dyDescent="0.35">
      <c r="B8" s="34"/>
      <c r="C8" s="23" t="s">
        <v>123</v>
      </c>
      <c r="D8" s="43" t="s">
        <v>124</v>
      </c>
      <c r="E8" s="34"/>
      <c r="F8" s="726" t="s">
        <v>337</v>
      </c>
      <c r="G8" s="726"/>
      <c r="H8" s="726"/>
      <c r="I8" s="34"/>
      <c r="J8" s="38"/>
      <c r="K8" s="38" t="s">
        <v>126</v>
      </c>
      <c r="L8" s="40"/>
      <c r="M8" s="38"/>
      <c r="N8" s="131" t="s">
        <v>463</v>
      </c>
      <c r="O8" s="38"/>
      <c r="P8" s="45"/>
      <c r="Q8" s="26"/>
    </row>
    <row r="9" spans="2:19" s="28" customFormat="1" ht="12.75" customHeight="1" x14ac:dyDescent="0.35">
      <c r="B9" s="34"/>
      <c r="C9" s="23" t="s">
        <v>127</v>
      </c>
      <c r="D9" s="43" t="s">
        <v>128</v>
      </c>
      <c r="E9" s="34"/>
      <c r="F9" s="726" t="s">
        <v>480</v>
      </c>
      <c r="G9" s="726"/>
      <c r="H9" s="726"/>
      <c r="I9" s="34"/>
      <c r="J9" s="38"/>
      <c r="K9" s="38" t="s">
        <v>129</v>
      </c>
      <c r="L9" s="40"/>
      <c r="M9" s="38"/>
      <c r="N9" s="132" t="s">
        <v>279</v>
      </c>
      <c r="O9" s="38"/>
      <c r="P9" s="45"/>
      <c r="Q9" s="26"/>
    </row>
    <row r="10" spans="2:19" s="28" customFormat="1" ht="12.75" customHeight="1" x14ac:dyDescent="0.35">
      <c r="B10" s="34"/>
      <c r="C10" s="23"/>
      <c r="D10" s="469" t="s">
        <v>448</v>
      </c>
      <c r="E10" s="34"/>
      <c r="F10" s="726" t="s">
        <v>460</v>
      </c>
      <c r="G10" s="726"/>
      <c r="H10" s="726"/>
      <c r="I10" s="34"/>
      <c r="J10" s="38"/>
      <c r="K10" s="38" t="s">
        <v>130</v>
      </c>
      <c r="L10" s="40"/>
      <c r="M10" s="38"/>
      <c r="N10" s="133" t="s">
        <v>464</v>
      </c>
      <c r="O10" s="38"/>
      <c r="P10" s="45"/>
      <c r="Q10" s="26"/>
    </row>
    <row r="11" spans="2:19" s="28" customFormat="1" ht="12.75" customHeight="1" x14ac:dyDescent="0.35">
      <c r="B11" s="34"/>
      <c r="C11" s="35" t="s">
        <v>131</v>
      </c>
      <c r="D11" s="36"/>
      <c r="E11" s="34"/>
      <c r="F11" s="49"/>
      <c r="G11" s="50"/>
      <c r="H11" s="50"/>
      <c r="I11" s="34"/>
      <c r="J11" s="38"/>
      <c r="K11" s="38" t="s">
        <v>132</v>
      </c>
      <c r="L11" s="40"/>
      <c r="M11" s="38"/>
      <c r="N11" s="132" t="s">
        <v>464</v>
      </c>
      <c r="O11" s="38"/>
      <c r="P11" s="45"/>
      <c r="Q11" s="26"/>
    </row>
    <row r="12" spans="2:19" s="28" customFormat="1" ht="12.75" customHeight="1" x14ac:dyDescent="0.35">
      <c r="B12" s="34"/>
      <c r="C12" s="23" t="s">
        <v>113</v>
      </c>
      <c r="D12" s="43" t="s">
        <v>114</v>
      </c>
      <c r="E12" s="34"/>
      <c r="F12" s="724" t="s">
        <v>457</v>
      </c>
      <c r="G12" s="724"/>
      <c r="H12" s="724"/>
      <c r="I12" s="34"/>
      <c r="J12" s="38"/>
      <c r="K12" s="39" t="s">
        <v>397</v>
      </c>
      <c r="L12" s="40"/>
      <c r="M12" s="38"/>
      <c r="N12" s="131"/>
      <c r="O12" s="38"/>
      <c r="P12" s="45"/>
      <c r="Q12" s="26"/>
    </row>
    <row r="13" spans="2:19" s="28" customFormat="1" ht="12.75" customHeight="1" x14ac:dyDescent="0.35">
      <c r="B13" s="34"/>
      <c r="C13" s="23" t="s">
        <v>116</v>
      </c>
      <c r="D13" s="43" t="s">
        <v>6</v>
      </c>
      <c r="E13" s="34"/>
      <c r="F13" s="725" t="s">
        <v>458</v>
      </c>
      <c r="G13" s="725"/>
      <c r="H13" s="725"/>
      <c r="I13" s="34"/>
      <c r="J13" s="38"/>
      <c r="K13" s="38" t="s">
        <v>133</v>
      </c>
      <c r="L13" s="40"/>
      <c r="M13" s="38"/>
      <c r="N13" s="134" t="s">
        <v>102</v>
      </c>
      <c r="O13" s="38"/>
      <c r="P13" s="45"/>
      <c r="Q13" s="26"/>
    </row>
    <row r="14" spans="2:19" s="28" customFormat="1" ht="12.75" customHeight="1" x14ac:dyDescent="0.35">
      <c r="B14" s="34"/>
      <c r="C14" s="23" t="s">
        <v>119</v>
      </c>
      <c r="D14" s="43" t="s">
        <v>120</v>
      </c>
      <c r="E14" s="34"/>
      <c r="F14" s="726" t="s">
        <v>452</v>
      </c>
      <c r="G14" s="726"/>
      <c r="H14" s="726"/>
      <c r="I14" s="34"/>
      <c r="J14" s="38"/>
      <c r="K14" s="38" t="s">
        <v>134</v>
      </c>
      <c r="L14" s="40"/>
      <c r="M14" s="38"/>
      <c r="N14" s="135" t="s">
        <v>102</v>
      </c>
      <c r="O14" s="38"/>
      <c r="P14" s="45"/>
      <c r="Q14" s="26"/>
    </row>
    <row r="15" spans="2:19" s="28" customFormat="1" ht="12.75" customHeight="1" x14ac:dyDescent="0.35">
      <c r="B15" s="34"/>
      <c r="C15" s="23" t="s">
        <v>123</v>
      </c>
      <c r="D15" s="43" t="s">
        <v>124</v>
      </c>
      <c r="E15" s="34"/>
      <c r="F15" s="726" t="s">
        <v>459</v>
      </c>
      <c r="G15" s="726"/>
      <c r="H15" s="726"/>
      <c r="I15" s="34"/>
      <c r="J15" s="38"/>
      <c r="K15" s="38" t="s">
        <v>135</v>
      </c>
      <c r="L15" s="38"/>
      <c r="M15" s="38"/>
      <c r="N15" s="133" t="str">
        <f>N8</f>
        <v xml:space="preserve">Kotabumi </v>
      </c>
      <c r="O15" s="38"/>
      <c r="P15" s="45"/>
      <c r="Q15" s="26"/>
    </row>
    <row r="16" spans="2:19" s="28" customFormat="1" ht="12.75" customHeight="1" x14ac:dyDescent="0.35">
      <c r="B16" s="34"/>
      <c r="C16" s="23" t="s">
        <v>127</v>
      </c>
      <c r="D16" s="43" t="s">
        <v>128</v>
      </c>
      <c r="E16" s="34"/>
      <c r="F16" s="726" t="s">
        <v>447</v>
      </c>
      <c r="G16" s="726"/>
      <c r="H16" s="726"/>
      <c r="I16" s="34"/>
      <c r="J16" s="38"/>
      <c r="K16" s="38" t="s">
        <v>136</v>
      </c>
      <c r="L16" s="38"/>
      <c r="M16" s="38"/>
      <c r="N16" s="133" t="s">
        <v>137</v>
      </c>
      <c r="O16" s="38"/>
      <c r="P16" s="45"/>
      <c r="Q16" s="26"/>
    </row>
    <row r="17" spans="2:17" s="28" customFormat="1" ht="12.75" customHeight="1" x14ac:dyDescent="0.35">
      <c r="B17" s="34"/>
      <c r="C17" s="23"/>
      <c r="D17" s="470" t="str">
        <f>D10&amp;""</f>
        <v>KAB.</v>
      </c>
      <c r="E17" s="34"/>
      <c r="F17" s="726" t="str">
        <f>F10&amp;""</f>
        <v>LAMPUNG UTARA</v>
      </c>
      <c r="G17" s="726"/>
      <c r="H17" s="726"/>
      <c r="I17" s="34"/>
      <c r="J17" s="38"/>
      <c r="K17" s="38" t="s">
        <v>138</v>
      </c>
      <c r="L17" s="38"/>
      <c r="M17" s="38"/>
      <c r="N17" s="132" t="s">
        <v>139</v>
      </c>
      <c r="O17" s="38"/>
      <c r="P17" s="45"/>
      <c r="Q17" s="26"/>
    </row>
    <row r="18" spans="2:17" ht="12.75" customHeight="1" x14ac:dyDescent="0.35">
      <c r="B18" s="51"/>
      <c r="C18" s="51"/>
      <c r="D18" s="51"/>
      <c r="E18" s="51"/>
      <c r="F18" s="52"/>
      <c r="G18" s="51"/>
      <c r="H18" s="51"/>
      <c r="I18" s="34"/>
      <c r="J18" s="29"/>
      <c r="K18" s="29" t="s">
        <v>332</v>
      </c>
      <c r="L18" s="29"/>
      <c r="M18" s="29"/>
      <c r="N18" s="132" t="s">
        <v>97</v>
      </c>
      <c r="O18" s="29"/>
      <c r="P18" s="31"/>
      <c r="Q18" s="26"/>
    </row>
    <row r="19" spans="2:17" ht="15.75" customHeight="1" x14ac:dyDescent="0.35">
      <c r="B19" s="34"/>
      <c r="C19" s="35" t="s">
        <v>140</v>
      </c>
      <c r="D19" s="36"/>
      <c r="E19" s="26"/>
      <c r="F19" s="26"/>
      <c r="G19" s="26"/>
      <c r="H19" s="26"/>
      <c r="I19" s="34"/>
      <c r="J19" s="53"/>
      <c r="K19" s="54" t="s">
        <v>141</v>
      </c>
      <c r="L19" s="53"/>
      <c r="M19" s="53"/>
      <c r="N19" s="55"/>
      <c r="O19" s="53"/>
      <c r="P19" s="53"/>
      <c r="Q19" s="31"/>
    </row>
    <row r="20" spans="2:17" ht="13.5" customHeight="1" x14ac:dyDescent="0.3">
      <c r="B20" s="34"/>
      <c r="C20" s="23" t="s">
        <v>113</v>
      </c>
      <c r="D20" s="43" t="s">
        <v>114</v>
      </c>
      <c r="E20" s="34"/>
      <c r="F20" s="732" t="s">
        <v>461</v>
      </c>
      <c r="G20" s="732"/>
      <c r="H20" s="732"/>
      <c r="I20" s="34"/>
      <c r="J20" s="56"/>
      <c r="K20" s="57" t="s">
        <v>113</v>
      </c>
      <c r="L20" s="58" t="s">
        <v>114</v>
      </c>
      <c r="M20" s="58"/>
      <c r="N20" s="729"/>
      <c r="O20" s="729"/>
      <c r="P20" s="729"/>
      <c r="Q20" s="31"/>
    </row>
    <row r="21" spans="2:17" ht="13.5" customHeight="1" x14ac:dyDescent="0.3">
      <c r="B21" s="34"/>
      <c r="C21" s="23" t="s">
        <v>116</v>
      </c>
      <c r="D21" s="43" t="s">
        <v>6</v>
      </c>
      <c r="E21" s="34"/>
      <c r="F21" s="730" t="s">
        <v>462</v>
      </c>
      <c r="G21" s="730"/>
      <c r="H21" s="730"/>
      <c r="I21" s="34"/>
      <c r="J21" s="56"/>
      <c r="K21" s="57" t="s">
        <v>116</v>
      </c>
      <c r="L21" s="58" t="s">
        <v>6</v>
      </c>
      <c r="M21" s="58"/>
      <c r="N21" s="731"/>
      <c r="O21" s="731"/>
      <c r="P21" s="731"/>
      <c r="Q21" s="31"/>
    </row>
    <row r="22" spans="2:17" ht="13.5" customHeight="1" x14ac:dyDescent="0.3">
      <c r="B22" s="34"/>
      <c r="C22" s="23" t="s">
        <v>119</v>
      </c>
      <c r="D22" s="43" t="s">
        <v>120</v>
      </c>
      <c r="E22" s="34"/>
      <c r="F22" s="727" t="s">
        <v>452</v>
      </c>
      <c r="G22" s="727"/>
      <c r="H22" s="727"/>
      <c r="I22" s="34"/>
      <c r="J22" s="56"/>
      <c r="K22" s="57" t="s">
        <v>119</v>
      </c>
      <c r="L22" s="58" t="s">
        <v>120</v>
      </c>
      <c r="M22" s="58"/>
      <c r="N22" s="728"/>
      <c r="O22" s="728"/>
      <c r="P22" s="728"/>
      <c r="Q22" s="31"/>
    </row>
    <row r="23" spans="2:17" ht="13.5" customHeight="1" x14ac:dyDescent="0.3">
      <c r="B23" s="34"/>
      <c r="C23" s="23" t="s">
        <v>123</v>
      </c>
      <c r="D23" s="43" t="s">
        <v>124</v>
      </c>
      <c r="E23" s="34"/>
      <c r="F23" s="727" t="s">
        <v>142</v>
      </c>
      <c r="G23" s="727"/>
      <c r="H23" s="727"/>
      <c r="I23" s="34"/>
      <c r="J23" s="56"/>
      <c r="K23" s="57" t="s">
        <v>123</v>
      </c>
      <c r="L23" s="58" t="s">
        <v>124</v>
      </c>
      <c r="M23" s="58"/>
      <c r="N23" s="728"/>
      <c r="O23" s="728"/>
      <c r="P23" s="728"/>
      <c r="Q23" s="31"/>
    </row>
    <row r="24" spans="2:17" ht="13.5" customHeight="1" x14ac:dyDescent="0.3">
      <c r="B24" s="34"/>
      <c r="C24" s="23" t="s">
        <v>127</v>
      </c>
      <c r="D24" s="43" t="s">
        <v>128</v>
      </c>
      <c r="E24" s="34"/>
      <c r="F24" s="727" t="s">
        <v>447</v>
      </c>
      <c r="G24" s="727"/>
      <c r="H24" s="727"/>
      <c r="I24" s="34"/>
      <c r="J24" s="56"/>
      <c r="K24" s="57" t="s">
        <v>127</v>
      </c>
      <c r="L24" s="58" t="s">
        <v>128</v>
      </c>
      <c r="M24" s="58"/>
      <c r="N24" s="728" t="s">
        <v>447</v>
      </c>
      <c r="O24" s="728"/>
      <c r="P24" s="728"/>
      <c r="Q24" s="31"/>
    </row>
    <row r="25" spans="2:17" ht="13.5" customHeight="1" x14ac:dyDescent="0.3">
      <c r="B25" s="34"/>
      <c r="C25" s="23"/>
      <c r="D25" s="470" t="str">
        <f>D17&amp;""</f>
        <v>KAB.</v>
      </c>
      <c r="E25" s="34"/>
      <c r="F25" s="727" t="str">
        <f>F17&amp;""</f>
        <v>LAMPUNG UTARA</v>
      </c>
      <c r="G25" s="727"/>
      <c r="H25" s="727"/>
      <c r="I25" s="34"/>
      <c r="J25" s="56"/>
      <c r="K25" s="57"/>
      <c r="L25" s="59" t="str">
        <f>D17</f>
        <v>KAB.</v>
      </c>
      <c r="M25" s="58"/>
      <c r="N25" s="728" t="str">
        <f>F17</f>
        <v>LAMPUNG UTARA</v>
      </c>
      <c r="O25" s="728"/>
      <c r="P25" s="728"/>
      <c r="Q25" s="31"/>
    </row>
    <row r="26" spans="2:17" ht="12.75" customHeight="1" x14ac:dyDescent="0.35">
      <c r="B26" s="51"/>
      <c r="C26" s="51"/>
      <c r="D26" s="51"/>
      <c r="E26" s="51"/>
      <c r="F26" s="52"/>
      <c r="G26" s="51"/>
      <c r="H26" s="51"/>
      <c r="I26" s="34"/>
      <c r="J26" s="56"/>
      <c r="K26" s="57"/>
      <c r="L26" s="58"/>
      <c r="M26" s="58"/>
      <c r="N26" s="60"/>
      <c r="O26" s="61"/>
      <c r="P26" s="61"/>
      <c r="Q26" s="31"/>
    </row>
    <row r="27" spans="2:17" ht="12.75" customHeight="1" x14ac:dyDescent="0.3">
      <c r="B27" s="56"/>
      <c r="C27" s="56"/>
      <c r="D27" s="56"/>
      <c r="E27" s="56"/>
      <c r="F27" s="56"/>
      <c r="G27" s="56"/>
      <c r="H27" s="56"/>
      <c r="I27" s="56"/>
      <c r="J27" s="56"/>
      <c r="K27" s="56"/>
      <c r="L27" s="56"/>
      <c r="M27" s="56"/>
      <c r="N27" s="56"/>
      <c r="O27" s="56"/>
      <c r="P27" s="56"/>
      <c r="Q27" s="31"/>
    </row>
    <row r="28" spans="2:17" ht="12.95" x14ac:dyDescent="0.3">
      <c r="I28" s="62"/>
      <c r="P28" s="62"/>
    </row>
    <row r="46" spans="12:12" x14ac:dyDescent="0.2">
      <c r="L46" s="33" t="e">
        <f>'00 DATA'!#REF!&amp;", "</f>
        <v>#REF!</v>
      </c>
    </row>
  </sheetData>
  <sheetProtection algorithmName="SHA-512" hashValue="vshvvcHOTZS0S3GROrwfGELJIO4leq+NQ/mRvH5vq4BmV/43WzcwLcUx6gf0TWhbux1li6BLN+d5Pzfb9yk6sQ==" saltValue="ZU4pFSZ+vCJfXBga7hi4pg==" spinCount="100000" sheet="1" objects="1" scenarios="1"/>
  <protectedRanges>
    <protectedRange sqref="N20:N25 F20:F25" name="Range1_2"/>
    <protectedRange sqref="F12:F17" name="Range1_3"/>
    <protectedRange algorithmName="SHA-512" hashValue="VMAZjPASjt3FCB4n6MipuVoCQXjEOzJ7jkmHHlSmf1Gl9a3cDeycCe610EpMjpx9dfq+cmzNhc4Zyma/4Sit2A==" saltValue="lEedr36/GHBdmKrzjjx34w==" spinCount="100000" sqref="F5:H10 N4:N18" name="Range1"/>
    <protectedRange sqref="D10 P5:P6" name="Range1_1"/>
  </protectedRanges>
  <mergeCells count="23">
    <mergeCell ref="F24:H24"/>
    <mergeCell ref="N24:P24"/>
    <mergeCell ref="F25:H25"/>
    <mergeCell ref="N25:P25"/>
    <mergeCell ref="N20:P20"/>
    <mergeCell ref="F21:H21"/>
    <mergeCell ref="N21:P21"/>
    <mergeCell ref="F22:H22"/>
    <mergeCell ref="N22:P22"/>
    <mergeCell ref="F23:H23"/>
    <mergeCell ref="N23:P23"/>
    <mergeCell ref="F20:H20"/>
    <mergeCell ref="F13:H13"/>
    <mergeCell ref="F14:H14"/>
    <mergeCell ref="F15:H15"/>
    <mergeCell ref="F16:H16"/>
    <mergeCell ref="F17:H17"/>
    <mergeCell ref="F12:H12"/>
    <mergeCell ref="F5:H5"/>
    <mergeCell ref="F6:H6"/>
    <mergeCell ref="F8:H8"/>
    <mergeCell ref="F9:H9"/>
    <mergeCell ref="F10:H10"/>
  </mergeCells>
  <hyperlinks>
    <hyperlink ref="P3" location="'RSUME-PRESTASI'!A1" display="RESUME PRESTASI"/>
    <hyperlink ref="P3:Q3" location="'NIL-KINERJA'!A1" display="NILAI KINERJA"/>
    <hyperlink ref="P1" location="COVER!A1" display="COVER"/>
    <hyperlink ref="L1" location="HOME!A1" display="HOME"/>
  </hyperlinks>
  <printOptions horizontalCentered="1"/>
  <pageMargins left="0.74803149606299213" right="0.74803149606299213" top="0.98425196850393704" bottom="0.98425196850393704" header="0.51181102362204722" footer="0.51181102362204722"/>
  <pageSetup paperSize="9" scale="83" orientation="landscape" horizontalDpi="4294967293" verticalDpi="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M26"/>
  <sheetViews>
    <sheetView showGridLines="0" showRowColHeaders="0" tabSelected="1" zoomScaleNormal="100" zoomScaleSheetLayoutView="90" workbookViewId="0">
      <pane xSplit="7" ySplit="1" topLeftCell="H2" activePane="bottomRight" state="frozen"/>
      <selection pane="topRight"/>
      <selection pane="bottomLeft"/>
      <selection pane="bottomRight"/>
    </sheetView>
  </sheetViews>
  <sheetFormatPr defaultRowHeight="14.25" x14ac:dyDescent="0.2"/>
  <cols>
    <col min="1" max="1" width="3.7109375" style="178" customWidth="1"/>
    <col min="2" max="2" width="4.85546875" style="178" customWidth="1"/>
    <col min="3" max="3" width="31.28515625" style="178" customWidth="1"/>
    <col min="4" max="6" width="18.5703125" style="178" customWidth="1"/>
    <col min="7" max="7" width="3.7109375" style="178" customWidth="1"/>
    <col min="8" max="8" width="3.85546875" style="178" customWidth="1"/>
    <col min="9" max="9" width="29.7109375" style="178" customWidth="1"/>
    <col min="10" max="10" width="18.5703125" style="178" customWidth="1"/>
    <col min="11" max="11" width="19" style="178" customWidth="1"/>
    <col min="12" max="12" width="15.85546875" style="178" customWidth="1"/>
    <col min="13" max="13" width="4.85546875" style="178" customWidth="1"/>
    <col min="14" max="14" width="4.5703125" style="178" customWidth="1"/>
    <col min="15" max="257" width="9.140625" style="178"/>
    <col min="258" max="258" width="33.42578125" style="178" customWidth="1"/>
    <col min="259" max="261" width="18.5703125" style="178" customWidth="1"/>
    <col min="262" max="513" width="9.140625" style="178"/>
    <col min="514" max="514" width="33.42578125" style="178" customWidth="1"/>
    <col min="515" max="517" width="18.5703125" style="178" customWidth="1"/>
    <col min="518" max="769" width="9.140625" style="178"/>
    <col min="770" max="770" width="33.42578125" style="178" customWidth="1"/>
    <col min="771" max="773" width="18.5703125" style="178" customWidth="1"/>
    <col min="774" max="1025" width="9.140625" style="178"/>
    <col min="1026" max="1026" width="33.42578125" style="178" customWidth="1"/>
    <col min="1027" max="1029" width="18.5703125" style="178" customWidth="1"/>
    <col min="1030" max="1281" width="9.140625" style="178"/>
    <col min="1282" max="1282" width="33.42578125" style="178" customWidth="1"/>
    <col min="1283" max="1285" width="18.5703125" style="178" customWidth="1"/>
    <col min="1286" max="1537" width="9.140625" style="178"/>
    <col min="1538" max="1538" width="33.42578125" style="178" customWidth="1"/>
    <col min="1539" max="1541" width="18.5703125" style="178" customWidth="1"/>
    <col min="1542" max="1793" width="9.140625" style="178"/>
    <col min="1794" max="1794" width="33.42578125" style="178" customWidth="1"/>
    <col min="1795" max="1797" width="18.5703125" style="178" customWidth="1"/>
    <col min="1798" max="2049" width="9.140625" style="178"/>
    <col min="2050" max="2050" width="33.42578125" style="178" customWidth="1"/>
    <col min="2051" max="2053" width="18.5703125" style="178" customWidth="1"/>
    <col min="2054" max="2305" width="9.140625" style="178"/>
    <col min="2306" max="2306" width="33.42578125" style="178" customWidth="1"/>
    <col min="2307" max="2309" width="18.5703125" style="178" customWidth="1"/>
    <col min="2310" max="2561" width="9.140625" style="178"/>
    <col min="2562" max="2562" width="33.42578125" style="178" customWidth="1"/>
    <col min="2563" max="2565" width="18.5703125" style="178" customWidth="1"/>
    <col min="2566" max="2817" width="9.140625" style="178"/>
    <col min="2818" max="2818" width="33.42578125" style="178" customWidth="1"/>
    <col min="2819" max="2821" width="18.5703125" style="178" customWidth="1"/>
    <col min="2822" max="3073" width="9.140625" style="178"/>
    <col min="3074" max="3074" width="33.42578125" style="178" customWidth="1"/>
    <col min="3075" max="3077" width="18.5703125" style="178" customWidth="1"/>
    <col min="3078" max="3329" width="9.140625" style="178"/>
    <col min="3330" max="3330" width="33.42578125" style="178" customWidth="1"/>
    <col min="3331" max="3333" width="18.5703125" style="178" customWidth="1"/>
    <col min="3334" max="3585" width="9.140625" style="178"/>
    <col min="3586" max="3586" width="33.42578125" style="178" customWidth="1"/>
    <col min="3587" max="3589" width="18.5703125" style="178" customWidth="1"/>
    <col min="3590" max="3841" width="9.140625" style="178"/>
    <col min="3842" max="3842" width="33.42578125" style="178" customWidth="1"/>
    <col min="3843" max="3845" width="18.5703125" style="178" customWidth="1"/>
    <col min="3846" max="4097" width="9.140625" style="178"/>
    <col min="4098" max="4098" width="33.42578125" style="178" customWidth="1"/>
    <col min="4099" max="4101" width="18.5703125" style="178" customWidth="1"/>
    <col min="4102" max="4353" width="9.140625" style="178"/>
    <col min="4354" max="4354" width="33.42578125" style="178" customWidth="1"/>
    <col min="4355" max="4357" width="18.5703125" style="178" customWidth="1"/>
    <col min="4358" max="4609" width="9.140625" style="178"/>
    <col min="4610" max="4610" width="33.42578125" style="178" customWidth="1"/>
    <col min="4611" max="4613" width="18.5703125" style="178" customWidth="1"/>
    <col min="4614" max="4865" width="9.140625" style="178"/>
    <col min="4866" max="4866" width="33.42578125" style="178" customWidth="1"/>
    <col min="4867" max="4869" width="18.5703125" style="178" customWidth="1"/>
    <col min="4870" max="5121" width="9.140625" style="178"/>
    <col min="5122" max="5122" width="33.42578125" style="178" customWidth="1"/>
    <col min="5123" max="5125" width="18.5703125" style="178" customWidth="1"/>
    <col min="5126" max="5377" width="9.140625" style="178"/>
    <col min="5378" max="5378" width="33.42578125" style="178" customWidth="1"/>
    <col min="5379" max="5381" width="18.5703125" style="178" customWidth="1"/>
    <col min="5382" max="5633" width="9.140625" style="178"/>
    <col min="5634" max="5634" width="33.42578125" style="178" customWidth="1"/>
    <col min="5635" max="5637" width="18.5703125" style="178" customWidth="1"/>
    <col min="5638" max="5889" width="9.140625" style="178"/>
    <col min="5890" max="5890" width="33.42578125" style="178" customWidth="1"/>
    <col min="5891" max="5893" width="18.5703125" style="178" customWidth="1"/>
    <col min="5894" max="6145" width="9.140625" style="178"/>
    <col min="6146" max="6146" width="33.42578125" style="178" customWidth="1"/>
    <col min="6147" max="6149" width="18.5703125" style="178" customWidth="1"/>
    <col min="6150" max="6401" width="9.140625" style="178"/>
    <col min="6402" max="6402" width="33.42578125" style="178" customWidth="1"/>
    <col min="6403" max="6405" width="18.5703125" style="178" customWidth="1"/>
    <col min="6406" max="6657" width="9.140625" style="178"/>
    <col min="6658" max="6658" width="33.42578125" style="178" customWidth="1"/>
    <col min="6659" max="6661" width="18.5703125" style="178" customWidth="1"/>
    <col min="6662" max="6913" width="9.140625" style="178"/>
    <col min="6914" max="6914" width="33.42578125" style="178" customWidth="1"/>
    <col min="6915" max="6917" width="18.5703125" style="178" customWidth="1"/>
    <col min="6918" max="7169" width="9.140625" style="178"/>
    <col min="7170" max="7170" width="33.42578125" style="178" customWidth="1"/>
    <col min="7171" max="7173" width="18.5703125" style="178" customWidth="1"/>
    <col min="7174" max="7425" width="9.140625" style="178"/>
    <col min="7426" max="7426" width="33.42578125" style="178" customWidth="1"/>
    <col min="7427" max="7429" width="18.5703125" style="178" customWidth="1"/>
    <col min="7430" max="7681" width="9.140625" style="178"/>
    <col min="7682" max="7682" width="33.42578125" style="178" customWidth="1"/>
    <col min="7683" max="7685" width="18.5703125" style="178" customWidth="1"/>
    <col min="7686" max="7937" width="9.140625" style="178"/>
    <col min="7938" max="7938" width="33.42578125" style="178" customWidth="1"/>
    <col min="7939" max="7941" width="18.5703125" style="178" customWidth="1"/>
    <col min="7942" max="8193" width="9.140625" style="178"/>
    <col min="8194" max="8194" width="33.42578125" style="178" customWidth="1"/>
    <col min="8195" max="8197" width="18.5703125" style="178" customWidth="1"/>
    <col min="8198" max="8449" width="9.140625" style="178"/>
    <col min="8450" max="8450" width="33.42578125" style="178" customWidth="1"/>
    <col min="8451" max="8453" width="18.5703125" style="178" customWidth="1"/>
    <col min="8454" max="8705" width="9.140625" style="178"/>
    <col min="8706" max="8706" width="33.42578125" style="178" customWidth="1"/>
    <col min="8707" max="8709" width="18.5703125" style="178" customWidth="1"/>
    <col min="8710" max="8961" width="9.140625" style="178"/>
    <col min="8962" max="8962" width="33.42578125" style="178" customWidth="1"/>
    <col min="8963" max="8965" width="18.5703125" style="178" customWidth="1"/>
    <col min="8966" max="9217" width="9.140625" style="178"/>
    <col min="9218" max="9218" width="33.42578125" style="178" customWidth="1"/>
    <col min="9219" max="9221" width="18.5703125" style="178" customWidth="1"/>
    <col min="9222" max="9473" width="9.140625" style="178"/>
    <col min="9474" max="9474" width="33.42578125" style="178" customWidth="1"/>
    <col min="9475" max="9477" width="18.5703125" style="178" customWidth="1"/>
    <col min="9478" max="9729" width="9.140625" style="178"/>
    <col min="9730" max="9730" width="33.42578125" style="178" customWidth="1"/>
    <col min="9731" max="9733" width="18.5703125" style="178" customWidth="1"/>
    <col min="9734" max="9985" width="9.140625" style="178"/>
    <col min="9986" max="9986" width="33.42578125" style="178" customWidth="1"/>
    <col min="9987" max="9989" width="18.5703125" style="178" customWidth="1"/>
    <col min="9990" max="10241" width="9.140625" style="178"/>
    <col min="10242" max="10242" width="33.42578125" style="178" customWidth="1"/>
    <col min="10243" max="10245" width="18.5703125" style="178" customWidth="1"/>
    <col min="10246" max="10497" width="9.140625" style="178"/>
    <col min="10498" max="10498" width="33.42578125" style="178" customWidth="1"/>
    <col min="10499" max="10501" width="18.5703125" style="178" customWidth="1"/>
    <col min="10502" max="10753" width="9.140625" style="178"/>
    <col min="10754" max="10754" width="33.42578125" style="178" customWidth="1"/>
    <col min="10755" max="10757" width="18.5703125" style="178" customWidth="1"/>
    <col min="10758" max="11009" width="9.140625" style="178"/>
    <col min="11010" max="11010" width="33.42578125" style="178" customWidth="1"/>
    <col min="11011" max="11013" width="18.5703125" style="178" customWidth="1"/>
    <col min="11014" max="11265" width="9.140625" style="178"/>
    <col min="11266" max="11266" width="33.42578125" style="178" customWidth="1"/>
    <col min="11267" max="11269" width="18.5703125" style="178" customWidth="1"/>
    <col min="11270" max="11521" width="9.140625" style="178"/>
    <col min="11522" max="11522" width="33.42578125" style="178" customWidth="1"/>
    <col min="11523" max="11525" width="18.5703125" style="178" customWidth="1"/>
    <col min="11526" max="11777" width="9.140625" style="178"/>
    <col min="11778" max="11778" width="33.42578125" style="178" customWidth="1"/>
    <col min="11779" max="11781" width="18.5703125" style="178" customWidth="1"/>
    <col min="11782" max="12033" width="9.140625" style="178"/>
    <col min="12034" max="12034" width="33.42578125" style="178" customWidth="1"/>
    <col min="12035" max="12037" width="18.5703125" style="178" customWidth="1"/>
    <col min="12038" max="12289" width="9.140625" style="178"/>
    <col min="12290" max="12290" width="33.42578125" style="178" customWidth="1"/>
    <col min="12291" max="12293" width="18.5703125" style="178" customWidth="1"/>
    <col min="12294" max="12545" width="9.140625" style="178"/>
    <col min="12546" max="12546" width="33.42578125" style="178" customWidth="1"/>
    <col min="12547" max="12549" width="18.5703125" style="178" customWidth="1"/>
    <col min="12550" max="12801" width="9.140625" style="178"/>
    <col min="12802" max="12802" width="33.42578125" style="178" customWidth="1"/>
    <col min="12803" max="12805" width="18.5703125" style="178" customWidth="1"/>
    <col min="12806" max="13057" width="9.140625" style="178"/>
    <col min="13058" max="13058" width="33.42578125" style="178" customWidth="1"/>
    <col min="13059" max="13061" width="18.5703125" style="178" customWidth="1"/>
    <col min="13062" max="13313" width="9.140625" style="178"/>
    <col min="13314" max="13314" width="33.42578125" style="178" customWidth="1"/>
    <col min="13315" max="13317" width="18.5703125" style="178" customWidth="1"/>
    <col min="13318" max="13569" width="9.140625" style="178"/>
    <col min="13570" max="13570" width="33.42578125" style="178" customWidth="1"/>
    <col min="13571" max="13573" width="18.5703125" style="178" customWidth="1"/>
    <col min="13574" max="13825" width="9.140625" style="178"/>
    <col min="13826" max="13826" width="33.42578125" style="178" customWidth="1"/>
    <col min="13827" max="13829" width="18.5703125" style="178" customWidth="1"/>
    <col min="13830" max="14081" width="9.140625" style="178"/>
    <col min="14082" max="14082" width="33.42578125" style="178" customWidth="1"/>
    <col min="14083" max="14085" width="18.5703125" style="178" customWidth="1"/>
    <col min="14086" max="14337" width="9.140625" style="178"/>
    <col min="14338" max="14338" width="33.42578125" style="178" customWidth="1"/>
    <col min="14339" max="14341" width="18.5703125" style="178" customWidth="1"/>
    <col min="14342" max="14593" width="9.140625" style="178"/>
    <col min="14594" max="14594" width="33.42578125" style="178" customWidth="1"/>
    <col min="14595" max="14597" width="18.5703125" style="178" customWidth="1"/>
    <col min="14598" max="14849" width="9.140625" style="178"/>
    <col min="14850" max="14850" width="33.42578125" style="178" customWidth="1"/>
    <col min="14851" max="14853" width="18.5703125" style="178" customWidth="1"/>
    <col min="14854" max="15105" width="9.140625" style="178"/>
    <col min="15106" max="15106" width="33.42578125" style="178" customWidth="1"/>
    <col min="15107" max="15109" width="18.5703125" style="178" customWidth="1"/>
    <col min="15110" max="15361" width="9.140625" style="178"/>
    <col min="15362" max="15362" width="33.42578125" style="178" customWidth="1"/>
    <col min="15363" max="15365" width="18.5703125" style="178" customWidth="1"/>
    <col min="15366" max="15617" width="9.140625" style="178"/>
    <col min="15618" max="15618" width="33.42578125" style="178" customWidth="1"/>
    <col min="15619" max="15621" width="18.5703125" style="178" customWidth="1"/>
    <col min="15622" max="15873" width="9.140625" style="178"/>
    <col min="15874" max="15874" width="33.42578125" style="178" customWidth="1"/>
    <col min="15875" max="15877" width="18.5703125" style="178" customWidth="1"/>
    <col min="15878" max="16129" width="9.140625" style="178"/>
    <col min="16130" max="16130" width="33.42578125" style="178" customWidth="1"/>
    <col min="16131" max="16133" width="18.5703125" style="178" customWidth="1"/>
    <col min="16134" max="16384" width="9.140625" style="178"/>
  </cols>
  <sheetData>
    <row r="1" spans="1:13" s="182" customFormat="1" ht="23.25" customHeight="1" x14ac:dyDescent="0.3">
      <c r="A1" s="178"/>
      <c r="B1" s="179"/>
      <c r="C1" s="180" t="s">
        <v>254</v>
      </c>
      <c r="D1" s="179"/>
      <c r="E1" s="181" t="s">
        <v>337</v>
      </c>
      <c r="H1" s="435" t="s">
        <v>374</v>
      </c>
      <c r="I1" s="436"/>
      <c r="J1" s="436"/>
      <c r="K1" s="436"/>
    </row>
    <row r="2" spans="1:13" ht="22.5" customHeight="1" x14ac:dyDescent="0.35">
      <c r="B2" s="183"/>
      <c r="C2" s="428" t="s">
        <v>373</v>
      </c>
      <c r="D2" s="198"/>
      <c r="E2" s="193"/>
      <c r="F2" s="194"/>
      <c r="G2" s="184"/>
      <c r="H2" s="185"/>
      <c r="I2" s="186"/>
      <c r="J2" s="186"/>
      <c r="K2" s="186"/>
      <c r="L2" s="186"/>
      <c r="M2" s="186"/>
    </row>
    <row r="3" spans="1:13" ht="20.100000000000001" x14ac:dyDescent="0.4">
      <c r="B3" s="184"/>
      <c r="C3" s="187"/>
      <c r="D3" s="188"/>
      <c r="E3" s="189"/>
      <c r="F3" s="190"/>
      <c r="G3" s="184"/>
      <c r="H3" s="186"/>
      <c r="I3" s="191"/>
      <c r="J3" s="192"/>
      <c r="K3" s="193"/>
      <c r="L3" s="194"/>
      <c r="M3" s="186"/>
    </row>
    <row r="4" spans="1:13" ht="17.45" x14ac:dyDescent="0.35">
      <c r="B4" s="184"/>
      <c r="C4" s="195"/>
      <c r="D4" s="196"/>
      <c r="E4" s="189"/>
      <c r="F4" s="190"/>
      <c r="G4" s="184"/>
      <c r="H4" s="186"/>
      <c r="I4" s="197"/>
      <c r="J4" s="198"/>
      <c r="K4" s="193"/>
      <c r="L4" s="194"/>
      <c r="M4" s="186"/>
    </row>
    <row r="5" spans="1:13" ht="17.45" x14ac:dyDescent="0.35">
      <c r="B5" s="184"/>
      <c r="C5" s="199"/>
      <c r="D5" s="196"/>
      <c r="E5" s="189"/>
      <c r="F5" s="190"/>
      <c r="G5" s="184"/>
      <c r="H5" s="186"/>
      <c r="I5" s="200"/>
      <c r="J5" s="198"/>
      <c r="K5" s="193"/>
      <c r="L5" s="194"/>
      <c r="M5" s="186"/>
    </row>
    <row r="6" spans="1:13" ht="17.45" x14ac:dyDescent="0.35">
      <c r="B6" s="184"/>
      <c r="C6" s="197"/>
      <c r="D6" s="198"/>
      <c r="E6" s="193"/>
      <c r="F6" s="194"/>
      <c r="G6" s="184"/>
      <c r="H6" s="186"/>
      <c r="I6" s="197"/>
      <c r="J6" s="198"/>
      <c r="K6" s="193"/>
      <c r="L6" s="194"/>
      <c r="M6" s="186"/>
    </row>
    <row r="7" spans="1:13" ht="17.45" x14ac:dyDescent="0.35">
      <c r="B7" s="184"/>
      <c r="C7" s="201"/>
      <c r="D7" s="198"/>
      <c r="E7" s="193"/>
      <c r="F7" s="194"/>
      <c r="G7" s="184"/>
      <c r="H7" s="186"/>
      <c r="I7" s="201"/>
      <c r="J7" s="198"/>
      <c r="K7" s="193"/>
      <c r="L7" s="194"/>
      <c r="M7" s="186"/>
    </row>
    <row r="8" spans="1:13" ht="17.45" x14ac:dyDescent="0.35">
      <c r="B8" s="184"/>
      <c r="C8" s="195"/>
      <c r="D8" s="196"/>
      <c r="E8" s="202"/>
      <c r="F8" s="190"/>
      <c r="G8" s="184"/>
      <c r="H8" s="186"/>
      <c r="I8" s="197"/>
      <c r="J8" s="198"/>
      <c r="K8" s="203"/>
      <c r="L8" s="194"/>
      <c r="M8" s="186"/>
    </row>
    <row r="9" spans="1:13" ht="17.45" x14ac:dyDescent="0.35">
      <c r="B9" s="184"/>
      <c r="C9" s="204"/>
      <c r="D9" s="196"/>
      <c r="E9" s="189"/>
      <c r="F9" s="190"/>
      <c r="G9" s="184"/>
      <c r="H9" s="186"/>
      <c r="I9" s="205"/>
      <c r="J9" s="198"/>
      <c r="K9" s="193"/>
      <c r="L9" s="194"/>
      <c r="M9" s="186"/>
    </row>
    <row r="10" spans="1:13" ht="17.45" x14ac:dyDescent="0.35">
      <c r="B10" s="184"/>
      <c r="C10" s="197"/>
      <c r="D10" s="198"/>
      <c r="E10" s="193"/>
      <c r="F10" s="194"/>
      <c r="G10" s="184"/>
      <c r="H10" s="186"/>
      <c r="I10" s="205"/>
      <c r="J10" s="206"/>
      <c r="K10" s="193"/>
      <c r="L10" s="194"/>
      <c r="M10" s="186"/>
    </row>
    <row r="11" spans="1:13" ht="20.100000000000001" x14ac:dyDescent="0.4">
      <c r="B11" s="184"/>
      <c r="C11" s="201"/>
      <c r="D11" s="198"/>
      <c r="E11" s="193"/>
      <c r="F11" s="194"/>
      <c r="G11" s="184"/>
      <c r="H11" s="186"/>
      <c r="I11" s="205"/>
      <c r="J11" s="207"/>
      <c r="K11" s="193"/>
      <c r="L11" s="194"/>
      <c r="M11" s="186"/>
    </row>
    <row r="12" spans="1:13" ht="20.100000000000001" x14ac:dyDescent="0.4">
      <c r="B12" s="184"/>
      <c r="C12" s="208"/>
      <c r="D12" s="209"/>
      <c r="E12" s="202"/>
      <c r="F12" s="190"/>
      <c r="G12" s="184"/>
      <c r="H12" s="186"/>
      <c r="I12" s="210"/>
      <c r="J12" s="211"/>
      <c r="K12" s="203"/>
      <c r="L12" s="194"/>
      <c r="M12" s="186"/>
    </row>
    <row r="13" spans="1:13" ht="17.45" x14ac:dyDescent="0.35">
      <c r="B13" s="184"/>
      <c r="C13" s="197"/>
      <c r="D13" s="198"/>
      <c r="E13" s="193"/>
      <c r="F13" s="194"/>
      <c r="G13" s="184"/>
      <c r="H13" s="186"/>
      <c r="I13" s="212"/>
      <c r="J13" s="198"/>
      <c r="K13" s="193"/>
      <c r="L13" s="194"/>
      <c r="M13" s="186"/>
    </row>
    <row r="14" spans="1:13" ht="17.45" x14ac:dyDescent="0.35">
      <c r="B14" s="184"/>
      <c r="C14" s="201"/>
      <c r="D14" s="198"/>
      <c r="E14" s="193"/>
      <c r="F14" s="194"/>
      <c r="G14" s="184"/>
      <c r="H14" s="186"/>
      <c r="I14" s="197"/>
      <c r="J14" s="198"/>
      <c r="K14" s="193"/>
      <c r="L14" s="194"/>
      <c r="M14" s="186"/>
    </row>
    <row r="15" spans="1:13" ht="17.45" x14ac:dyDescent="0.35">
      <c r="B15" s="184"/>
      <c r="C15" s="195"/>
      <c r="D15" s="196"/>
      <c r="E15" s="189"/>
      <c r="F15" s="190"/>
      <c r="G15" s="184"/>
      <c r="H15" s="186"/>
      <c r="I15" s="197"/>
      <c r="J15" s="198"/>
      <c r="K15" s="193"/>
      <c r="L15" s="194"/>
      <c r="M15" s="186"/>
    </row>
    <row r="16" spans="1:13" ht="17.45" x14ac:dyDescent="0.35">
      <c r="B16" s="184"/>
      <c r="C16" s="208"/>
      <c r="D16" s="196"/>
      <c r="E16" s="189"/>
      <c r="F16" s="190"/>
      <c r="G16" s="184"/>
      <c r="H16" s="186"/>
      <c r="I16" s="210"/>
      <c r="J16" s="198"/>
      <c r="K16" s="193"/>
      <c r="L16" s="194"/>
      <c r="M16" s="186"/>
    </row>
    <row r="17" spans="2:13" ht="17.45" x14ac:dyDescent="0.35">
      <c r="B17" s="184"/>
      <c r="C17" s="197"/>
      <c r="D17" s="198"/>
      <c r="E17" s="193"/>
      <c r="F17" s="194"/>
      <c r="G17" s="184"/>
      <c r="H17" s="186"/>
      <c r="I17" s="210"/>
      <c r="J17" s="198"/>
      <c r="K17" s="193"/>
      <c r="L17" s="194"/>
      <c r="M17" s="186"/>
    </row>
    <row r="18" spans="2:13" ht="17.45" x14ac:dyDescent="0.35">
      <c r="B18" s="184"/>
      <c r="C18" s="201"/>
      <c r="D18" s="198"/>
      <c r="E18" s="193"/>
      <c r="F18" s="194"/>
      <c r="G18" s="184"/>
      <c r="H18" s="186"/>
      <c r="I18" s="213" t="s">
        <v>253</v>
      </c>
      <c r="J18" s="214"/>
      <c r="K18" s="193"/>
      <c r="L18" s="194"/>
      <c r="M18" s="186"/>
    </row>
    <row r="19" spans="2:13" ht="17.45" x14ac:dyDescent="0.35">
      <c r="B19" s="184"/>
      <c r="C19" s="215"/>
      <c r="D19" s="215"/>
      <c r="E19" s="184"/>
      <c r="F19" s="184"/>
      <c r="G19" s="184"/>
      <c r="H19" s="186"/>
      <c r="I19" s="216"/>
      <c r="J19" s="216"/>
      <c r="K19" s="217"/>
      <c r="L19" s="186"/>
      <c r="M19" s="186"/>
    </row>
    <row r="20" spans="2:13" ht="17.45" x14ac:dyDescent="0.35">
      <c r="D20" s="218"/>
      <c r="J20" s="218"/>
    </row>
    <row r="21" spans="2:13" ht="17.45" x14ac:dyDescent="0.35">
      <c r="C21" s="219"/>
      <c r="D21" s="218"/>
      <c r="I21" s="219"/>
      <c r="J21" s="218"/>
    </row>
    <row r="23" spans="2:13" ht="14.1" x14ac:dyDescent="0.3">
      <c r="C23" s="220"/>
      <c r="I23" s="220"/>
    </row>
    <row r="26" spans="2:13" ht="14.1" x14ac:dyDescent="0.3">
      <c r="D26" s="221"/>
      <c r="J26" s="221"/>
    </row>
  </sheetData>
  <sheetProtection algorithmName="SHA-512" hashValue="3JQ0Xp/BjOE5YJ1T4o4iVeBWvqYy2R9uAfJ68twiPUVtlqI+xi/DeMSsqXD+R+17ZBVpZ28oWQT10hf/NWfl7A==" saltValue="vY5j93o9bcXy6s4SRbw0gw==" spinCount="100000" sheet="1" objects="1" scenarios="1"/>
  <protectedRanges>
    <protectedRange sqref="E1" name="Range1"/>
  </protectedRanges>
  <printOptions horizontalCentered="1" verticalCentered="1"/>
  <pageMargins left="0.70866141732283472" right="0.70866141732283472" top="0.74803149606299213" bottom="0.74803149606299213" header="0.31496062992125984" footer="0.31496062992125984"/>
  <pageSetup paperSize="9" scale="69" orientation="landscape"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16</vt:i4>
      </vt:variant>
    </vt:vector>
  </HeadingPairs>
  <TitlesOfParts>
    <vt:vector size="30" baseType="lpstr">
      <vt:lpstr>COVER</vt:lpstr>
      <vt:lpstr>SKP JF (KUANTITATIF)</vt:lpstr>
      <vt:lpstr>EVALUASI KINERJA KUANTI JF (2)</vt:lpstr>
      <vt:lpstr>DOK. EVALUASI KINERJA PEGAWAI</vt:lpstr>
      <vt:lpstr>DOK. EVALUASI KINERJA PEGAW (2</vt:lpstr>
      <vt:lpstr>EVALUASI KINERJA KUANTI JF</vt:lpstr>
      <vt:lpstr>BERAHLAK</vt:lpstr>
      <vt:lpstr>UMPAN-BALIK</vt:lpstr>
      <vt:lpstr>KUADRAN</vt:lpstr>
      <vt:lpstr>POLA DISTRIBUSI</vt:lpstr>
      <vt:lpstr>MPH_1-2</vt:lpstr>
      <vt:lpstr>TUPOKSI</vt:lpstr>
      <vt:lpstr>00 DATA</vt:lpstr>
      <vt:lpstr>HOME</vt:lpstr>
      <vt:lpstr>'EVALUASI KINERJA KUANTI JF'!_1.</vt:lpstr>
      <vt:lpstr>'EVALUASI KINERJA KUANTI JF (2)'!_1.</vt:lpstr>
      <vt:lpstr>'00 DATA'!Print_Area</vt:lpstr>
      <vt:lpstr>BERAHLAK!Print_Area</vt:lpstr>
      <vt:lpstr>COVER!Print_Area</vt:lpstr>
      <vt:lpstr>'DOK. EVALUASI KINERJA PEGAW (2'!Print_Area</vt:lpstr>
      <vt:lpstr>'DOK. EVALUASI KINERJA PEGAWAI'!Print_Area</vt:lpstr>
      <vt:lpstr>'EVALUASI KINERJA KUANTI JF'!Print_Area</vt:lpstr>
      <vt:lpstr>'EVALUASI KINERJA KUANTI JF (2)'!Print_Area</vt:lpstr>
      <vt:lpstr>HOME!Print_Area</vt:lpstr>
      <vt:lpstr>KUADRAN!Print_Area</vt:lpstr>
      <vt:lpstr>'MPH_1-2'!Print_Area</vt:lpstr>
      <vt:lpstr>'POLA DISTRIBUSI'!Print_Area</vt:lpstr>
      <vt:lpstr>'SKP JF (KUANTITATIF)'!Print_Area</vt:lpstr>
      <vt:lpstr>TUPOKSI!Print_Area</vt:lpstr>
      <vt:lpstr>'UMPAN-BALIK'!Print_Area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ASUS</cp:lastModifiedBy>
  <cp:lastPrinted>2023-02-20T22:05:02Z</cp:lastPrinted>
  <dcterms:created xsi:type="dcterms:W3CDTF">2022-03-10T07:36:51Z</dcterms:created>
  <dcterms:modified xsi:type="dcterms:W3CDTF">2023-02-21T21:03:54Z</dcterms:modified>
</cp:coreProperties>
</file>